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gar\Downloads\"/>
    </mc:Choice>
  </mc:AlternateContent>
  <xr:revisionPtr revIDLastSave="0" documentId="13_ncr:1_{4CBFD843-B385-41E1-99AC-F7D2BD7826D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Java vs Python" sheetId="2" r:id="rId2"/>
  </sheets>
  <definedNames>
    <definedName name="_xlnm._FilterDatabase" localSheetId="1" hidden="1">'Java vs Python'!$A$1:$K$190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1" l="1"/>
  <c r="D46" i="1"/>
  <c r="C46" i="1"/>
  <c r="E45" i="1"/>
  <c r="D45" i="1"/>
  <c r="C45" i="1"/>
  <c r="E44" i="1"/>
  <c r="D44" i="1"/>
  <c r="C44" i="1"/>
  <c r="F44" i="1" s="1"/>
  <c r="I39" i="1"/>
  <c r="H39" i="1"/>
  <c r="G39" i="1"/>
  <c r="F39" i="1"/>
  <c r="B39" i="1"/>
  <c r="I38" i="1"/>
  <c r="H38" i="1"/>
  <c r="G38" i="1"/>
  <c r="F38" i="1"/>
  <c r="B38" i="1"/>
  <c r="I37" i="1"/>
  <c r="H37" i="1"/>
  <c r="G37" i="1"/>
  <c r="F37" i="1"/>
  <c r="B37" i="1"/>
  <c r="I36" i="1"/>
  <c r="H36" i="1"/>
  <c r="G36" i="1"/>
  <c r="F36" i="1"/>
  <c r="B36" i="1"/>
  <c r="J36" i="1" s="1"/>
  <c r="I35" i="1"/>
  <c r="H35" i="1"/>
  <c r="G35" i="1"/>
  <c r="F35" i="1"/>
  <c r="B35" i="1"/>
  <c r="E35" i="1" s="1"/>
  <c r="I34" i="1"/>
  <c r="H34" i="1"/>
  <c r="G34" i="1"/>
  <c r="F34" i="1"/>
  <c r="B34" i="1"/>
  <c r="I33" i="1"/>
  <c r="H33" i="1"/>
  <c r="G33" i="1"/>
  <c r="F33" i="1"/>
  <c r="B33" i="1"/>
  <c r="I32" i="1"/>
  <c r="H32" i="1"/>
  <c r="G32" i="1"/>
  <c r="F32" i="1"/>
  <c r="B32" i="1"/>
  <c r="I31" i="1"/>
  <c r="H31" i="1"/>
  <c r="G31" i="1"/>
  <c r="F31" i="1"/>
  <c r="B31" i="1"/>
  <c r="I30" i="1"/>
  <c r="H30" i="1"/>
  <c r="G30" i="1"/>
  <c r="F30" i="1"/>
  <c r="B30" i="1"/>
  <c r="E30" i="1" s="1"/>
  <c r="I29" i="1"/>
  <c r="H29" i="1"/>
  <c r="G29" i="1"/>
  <c r="F29" i="1"/>
  <c r="B29" i="1"/>
  <c r="D29" i="1" s="1"/>
  <c r="I28" i="1"/>
  <c r="H28" i="1"/>
  <c r="G28" i="1"/>
  <c r="F28" i="1"/>
  <c r="B28" i="1"/>
  <c r="I27" i="1"/>
  <c r="H27" i="1"/>
  <c r="G27" i="1"/>
  <c r="F27" i="1"/>
  <c r="B27" i="1"/>
  <c r="I26" i="1"/>
  <c r="H26" i="1"/>
  <c r="G26" i="1"/>
  <c r="F26" i="1"/>
  <c r="B26" i="1"/>
  <c r="I25" i="1"/>
  <c r="H25" i="1"/>
  <c r="G25" i="1"/>
  <c r="F25" i="1"/>
  <c r="B25" i="1"/>
  <c r="I24" i="1"/>
  <c r="H24" i="1"/>
  <c r="G24" i="1"/>
  <c r="F24" i="1"/>
  <c r="B24" i="1"/>
  <c r="I23" i="1"/>
  <c r="H23" i="1"/>
  <c r="G23" i="1"/>
  <c r="F23" i="1"/>
  <c r="B23" i="1"/>
  <c r="I22" i="1"/>
  <c r="H22" i="1"/>
  <c r="G22" i="1"/>
  <c r="F22" i="1"/>
  <c r="B22" i="1"/>
  <c r="I21" i="1"/>
  <c r="H21" i="1"/>
  <c r="G21" i="1"/>
  <c r="F21" i="1"/>
  <c r="B21" i="1"/>
  <c r="I20" i="1"/>
  <c r="H20" i="1"/>
  <c r="G20" i="1"/>
  <c r="F20" i="1"/>
  <c r="B20" i="1"/>
  <c r="I19" i="1"/>
  <c r="H19" i="1"/>
  <c r="G19" i="1"/>
  <c r="F19" i="1"/>
  <c r="B19" i="1"/>
  <c r="E19" i="1" s="1"/>
  <c r="I18" i="1"/>
  <c r="H18" i="1"/>
  <c r="G18" i="1"/>
  <c r="F18" i="1"/>
  <c r="B18" i="1"/>
  <c r="I17" i="1"/>
  <c r="H17" i="1"/>
  <c r="G17" i="1"/>
  <c r="F17" i="1"/>
  <c r="B17" i="1"/>
  <c r="D17" i="1" s="1"/>
  <c r="I16" i="1"/>
  <c r="H16" i="1"/>
  <c r="G16" i="1"/>
  <c r="F16" i="1"/>
  <c r="B16" i="1"/>
  <c r="I15" i="1"/>
  <c r="H15" i="1"/>
  <c r="G15" i="1"/>
  <c r="F15" i="1"/>
  <c r="B15" i="1"/>
  <c r="I14" i="1"/>
  <c r="H14" i="1"/>
  <c r="G14" i="1"/>
  <c r="F14" i="1"/>
  <c r="B14" i="1"/>
  <c r="I13" i="1"/>
  <c r="H13" i="1"/>
  <c r="G13" i="1"/>
  <c r="F13" i="1"/>
  <c r="B13" i="1"/>
  <c r="I12" i="1"/>
  <c r="H12" i="1"/>
  <c r="G12" i="1"/>
  <c r="F12" i="1"/>
  <c r="B12" i="1"/>
  <c r="I11" i="1"/>
  <c r="H11" i="1"/>
  <c r="G11" i="1"/>
  <c r="F11" i="1"/>
  <c r="B11" i="1"/>
  <c r="E11" i="1" s="1"/>
  <c r="I10" i="1"/>
  <c r="H10" i="1"/>
  <c r="G10" i="1"/>
  <c r="F10" i="1"/>
  <c r="B10" i="1"/>
  <c r="I9" i="1"/>
  <c r="H9" i="1"/>
  <c r="G9" i="1"/>
  <c r="F9" i="1"/>
  <c r="B9" i="1"/>
  <c r="I8" i="1"/>
  <c r="H8" i="1"/>
  <c r="G8" i="1"/>
  <c r="F8" i="1"/>
  <c r="B8" i="1"/>
  <c r="I7" i="1"/>
  <c r="H7" i="1"/>
  <c r="G7" i="1"/>
  <c r="F7" i="1"/>
  <c r="B7" i="1"/>
  <c r="I6" i="1"/>
  <c r="H6" i="1"/>
  <c r="G6" i="1"/>
  <c r="F6" i="1"/>
  <c r="B6" i="1"/>
  <c r="E6" i="1" s="1"/>
  <c r="I5" i="1"/>
  <c r="H5" i="1"/>
  <c r="G5" i="1"/>
  <c r="F5" i="1"/>
  <c r="B5" i="1"/>
  <c r="I4" i="1"/>
  <c r="H4" i="1"/>
  <c r="G4" i="1"/>
  <c r="F4" i="1"/>
  <c r="B4" i="1"/>
  <c r="F45" i="1" l="1"/>
  <c r="J6" i="1"/>
  <c r="E10" i="1"/>
  <c r="E22" i="1"/>
  <c r="E34" i="1"/>
  <c r="F46" i="1"/>
  <c r="J39" i="1"/>
  <c r="J4" i="1"/>
  <c r="D6" i="1"/>
  <c r="C6" i="1"/>
  <c r="C33" i="1"/>
  <c r="D9" i="1"/>
  <c r="E14" i="1"/>
  <c r="E26" i="1"/>
  <c r="E38" i="1"/>
  <c r="C30" i="1"/>
  <c r="J30" i="1"/>
  <c r="J23" i="1"/>
  <c r="C38" i="1"/>
  <c r="J7" i="1"/>
  <c r="J31" i="1"/>
  <c r="J20" i="1"/>
  <c r="C22" i="1"/>
  <c r="E27" i="1"/>
  <c r="D30" i="1"/>
  <c r="D14" i="1"/>
  <c r="J14" i="1"/>
  <c r="J26" i="1"/>
  <c r="D38" i="1"/>
  <c r="J10" i="1"/>
  <c r="C13" i="1"/>
  <c r="D22" i="1"/>
  <c r="C14" i="1"/>
  <c r="J15" i="1"/>
  <c r="E18" i="1"/>
  <c r="J22" i="1"/>
  <c r="E25" i="1"/>
  <c r="J8" i="1"/>
  <c r="C10" i="1"/>
  <c r="J24" i="1"/>
  <c r="C26" i="1"/>
  <c r="D10" i="1"/>
  <c r="C15" i="1"/>
  <c r="J19" i="1"/>
  <c r="D26" i="1"/>
  <c r="E31" i="1"/>
  <c r="J35" i="1"/>
  <c r="J38" i="1"/>
  <c r="G40" i="1"/>
  <c r="J16" i="1"/>
  <c r="C18" i="1"/>
  <c r="J32" i="1"/>
  <c r="C34" i="1"/>
  <c r="F40" i="1"/>
  <c r="E7" i="1"/>
  <c r="J11" i="1"/>
  <c r="D18" i="1"/>
  <c r="E23" i="1"/>
  <c r="J27" i="1"/>
  <c r="D34" i="1"/>
  <c r="E39" i="1"/>
  <c r="D5" i="1"/>
  <c r="J18" i="1"/>
  <c r="J34" i="1"/>
  <c r="E37" i="1"/>
  <c r="H40" i="1"/>
  <c r="I40" i="1"/>
  <c r="J21" i="1"/>
  <c r="J12" i="1"/>
  <c r="J28" i="1"/>
  <c r="C9" i="1"/>
  <c r="D25" i="1"/>
  <c r="C16" i="1"/>
  <c r="C20" i="1"/>
  <c r="C24" i="1"/>
  <c r="C28" i="1"/>
  <c r="C32" i="1"/>
  <c r="C36" i="1"/>
  <c r="D4" i="1"/>
  <c r="D8" i="1"/>
  <c r="D12" i="1"/>
  <c r="D16" i="1"/>
  <c r="D20" i="1"/>
  <c r="D24" i="1"/>
  <c r="D28" i="1"/>
  <c r="D32" i="1"/>
  <c r="D36" i="1"/>
  <c r="C39" i="1"/>
  <c r="J37" i="1"/>
  <c r="D39" i="1"/>
  <c r="C17" i="1"/>
  <c r="C21" i="1"/>
  <c r="C29" i="1"/>
  <c r="C37" i="1"/>
  <c r="D13" i="1"/>
  <c r="D21" i="1"/>
  <c r="D33" i="1"/>
  <c r="E5" i="1"/>
  <c r="E9" i="1"/>
  <c r="E13" i="1"/>
  <c r="E17" i="1"/>
  <c r="E21" i="1"/>
  <c r="E29" i="1"/>
  <c r="E33" i="1"/>
  <c r="B40" i="1"/>
  <c r="J40" i="1" s="1"/>
  <c r="C4" i="1"/>
  <c r="C8" i="1"/>
  <c r="C12" i="1"/>
  <c r="E4" i="1"/>
  <c r="E32" i="1"/>
  <c r="E36" i="1"/>
  <c r="C7" i="1"/>
  <c r="C11" i="1"/>
  <c r="C19" i="1"/>
  <c r="C23" i="1"/>
  <c r="C27" i="1"/>
  <c r="C31" i="1"/>
  <c r="C35" i="1"/>
  <c r="J5" i="1"/>
  <c r="D7" i="1"/>
  <c r="J9" i="1"/>
  <c r="D11" i="1"/>
  <c r="J13" i="1"/>
  <c r="D15" i="1"/>
  <c r="J17" i="1"/>
  <c r="D19" i="1"/>
  <c r="D23" i="1"/>
  <c r="J25" i="1"/>
  <c r="D27" i="1"/>
  <c r="J29" i="1"/>
  <c r="D31" i="1"/>
  <c r="J33" i="1"/>
  <c r="D35" i="1"/>
  <c r="E15" i="1"/>
  <c r="C5" i="1"/>
  <c r="D37" i="1"/>
  <c r="E8" i="1"/>
  <c r="E16" i="1"/>
  <c r="E24" i="1"/>
  <c r="C25" i="1"/>
  <c r="E12" i="1"/>
  <c r="E20" i="1"/>
  <c r="E28" i="1"/>
  <c r="C40" i="1" l="1"/>
  <c r="E40" i="1"/>
  <c r="D40" i="1"/>
</calcChain>
</file>

<file path=xl/sharedStrings.xml><?xml version="1.0" encoding="utf-8"?>
<sst xmlns="http://schemas.openxmlformats.org/spreadsheetml/2006/main" count="1966" uniqueCount="1259">
  <si>
    <t>Java vs Python - Topic-wise Learning Summary</t>
  </si>
  <si>
    <t>Category</t>
  </si>
  <si>
    <t>Total Topics</t>
  </si>
  <si>
    <t>Java Topics</t>
  </si>
  <si>
    <t>Python Topics</t>
  </si>
  <si>
    <t>Both (Matched)</t>
  </si>
  <si>
    <t>Java NA</t>
  </si>
  <si>
    <t>Python NA</t>
  </si>
  <si>
    <t>Done</t>
  </si>
  <si>
    <t>In Progress</t>
  </si>
  <si>
    <t>% Done</t>
  </si>
  <si>
    <t>Basics</t>
  </si>
  <si>
    <t>Variables</t>
  </si>
  <si>
    <t>Data Types</t>
  </si>
  <si>
    <t>Operators</t>
  </si>
  <si>
    <t>I/O</t>
  </si>
  <si>
    <t>Control Flow</t>
  </si>
  <si>
    <t>Loops</t>
  </si>
  <si>
    <t>Strings</t>
  </si>
  <si>
    <t>Arrays</t>
  </si>
  <si>
    <t>Collections</t>
  </si>
  <si>
    <t>Functions</t>
  </si>
  <si>
    <t>OOP</t>
  </si>
  <si>
    <t>Packages</t>
  </si>
  <si>
    <t>Exceptions</t>
  </si>
  <si>
    <t>File Handling</t>
  </si>
  <si>
    <t>Concurrency</t>
  </si>
  <si>
    <t>Memory</t>
  </si>
  <si>
    <t>Modern Features</t>
  </si>
  <si>
    <t>Standard Libs</t>
  </si>
  <si>
    <t>Database</t>
  </si>
  <si>
    <t>Networking</t>
  </si>
  <si>
    <t>Web Development</t>
  </si>
  <si>
    <t>GUI</t>
  </si>
  <si>
    <t>Mobile</t>
  </si>
  <si>
    <t>Data Science</t>
  </si>
  <si>
    <t>AI/ML</t>
  </si>
  <si>
    <t>Big Data</t>
  </si>
  <si>
    <t>Automation</t>
  </si>
  <si>
    <t>Testing</t>
  </si>
  <si>
    <t>Build/Package</t>
  </si>
  <si>
    <t>DevOps</t>
  </si>
  <si>
    <t>Advanced</t>
  </si>
  <si>
    <t>Practice</t>
  </si>
  <si>
    <t>IDE</t>
  </si>
  <si>
    <t>Online / Notebook</t>
  </si>
  <si>
    <t>Tools</t>
  </si>
  <si>
    <t>Total</t>
  </si>
  <si>
    <t>By Priority</t>
  </si>
  <si>
    <t>Priority</t>
  </si>
  <si>
    <t>Meaning</t>
  </si>
  <si>
    <t>P1</t>
  </si>
  <si>
    <t>Core. Learn first.</t>
  </si>
  <si>
    <t>P2</t>
  </si>
  <si>
    <t>Important. Needed for real projects and jobs.</t>
  </si>
  <si>
    <t>P3</t>
  </si>
  <si>
    <t>Advanced or niche. Learn when your work needs it.</t>
  </si>
  <si>
    <t>How to use: go to the 'Java vs Python' sheet, filter by Category or Priority, and set Status for each topic. This summary updates automatically.</t>
  </si>
  <si>
    <t>Each row compares one topic: Java Question + Answer on the left (orange headers), Python Question + Answer on the right (blue headers).</t>
  </si>
  <si>
    <t>NA means that language has no equal topic. The Key Difference column explains what to use instead.</t>
  </si>
  <si>
    <t>Priority: P1 = core, P2 = important for jobs, P3 = advanced or niche. For NA rows, priority is based on the language that has the topic.</t>
  </si>
  <si>
    <t>#</t>
  </si>
  <si>
    <t>Java Topic</t>
  </si>
  <si>
    <t>Java Question</t>
  </si>
  <si>
    <t>Java Answer / Explanation</t>
  </si>
  <si>
    <t>Python Topic</t>
  </si>
  <si>
    <t>Python Question</t>
  </si>
  <si>
    <t>Python Answer / Explanation</t>
  </si>
  <si>
    <t>Key Difference</t>
  </si>
  <si>
    <t>Status</t>
  </si>
  <si>
    <t>Introduction, history, features</t>
  </si>
  <si>
    <t>What is Java, who created it, and what are its main features?</t>
  </si>
  <si>
    <t>Created by James Gosling at Sun Microsystems (1995), now owned by Oracle. It is compiled to bytecode, object-oriented, strongly and statically typed, platform independent, multithreaded, secure and robust (garbage collection, exception handling).</t>
  </si>
  <si>
    <t>What is Python, who created it, and what are its main features?</t>
  </si>
  <si>
    <t>Created by Guido van Rossum (1991). It is interpreted, dynamically typed, multi-paradigm (procedural, OOP, functional), has very readable syntax, a huge standard library and automatic memory management.</t>
  </si>
  <si>
    <t>Java is compiled and statically typed (more rules, faster runtime). Python is interpreted and dynamically typed (less code, faster to write).</t>
  </si>
  <si>
    <t>Not Started</t>
  </si>
  <si>
    <t>JDK, JRE, JVM, installation</t>
  </si>
  <si>
    <t>What are JDK, JRE and JVM and how do you install Java?</t>
  </si>
  <si>
    <t>JVM runs bytecode. JRE = JVM + core libraries. JDK = JRE + tools (javac, jar, jdb). Install a JDK (Oracle, OpenJDK, Temurin), set JAVA_HOME and PATH, check with java -version.</t>
  </si>
  <si>
    <t>Python interpreter, installation, pip</t>
  </si>
  <si>
    <t>How do you install Python and manage packages?</t>
  </si>
  <si>
    <t>Install the Python interpreter (CPython) from python.org or a package manager, check with python --version. pip installs third-party packages from PyPI (pip install requests).</t>
  </si>
  <si>
    <t>Java needs a JDK to compile and a JVM to run. Python needs only the interpreter, and pip handles libraries.</t>
  </si>
  <si>
    <t>Program structure (class, main method)</t>
  </si>
  <si>
    <t>What is the structure of a Java program?</t>
  </si>
  <si>
    <t>Code lives inside classes. Execution starts at public static void main(String[] args). One public class per file, file name equals class name. Example: public class Hello { public static void main(String[] a) { System.out.println("Hi"); } }</t>
  </si>
  <si>
    <t>Script structure, indentation rules</t>
  </si>
  <si>
    <t>What is the structure of a Python script?</t>
  </si>
  <si>
    <t>No class or main method required. Statements run top to bottom. Blocks are defined by indentation (4 spaces), not braces. Example: print("Hi")</t>
  </si>
  <si>
    <t>Java forces class and main. Python uses indentation for blocks and needs no boilerplate.</t>
  </si>
  <si>
    <t>Compile and run (javac, java, bytecode)</t>
  </si>
  <si>
    <t>How do you compile and run a Java program?</t>
  </si>
  <si>
    <t>javac Hello.java compiles to Hello.class (bytecode), java Hello runs it on the JVM. The JIT compiler turns hot bytecode into native code at runtime.</t>
  </si>
  <si>
    <t>Run with interpreter (python, .pyc)</t>
  </si>
  <si>
    <t>How do you run a Python program?</t>
  </si>
  <si>
    <t>python hello.py. CPython compiles source to bytecode (stored in __pycache__ as .pyc) and the Python Virtual Machine executes it. No separate compile command.</t>
  </si>
  <si>
    <t>Java has an explicit compile step. Python compiles implicitly each run (cached as .pyc).</t>
  </si>
  <si>
    <t>Comments (//, /* */, /** */)</t>
  </si>
  <si>
    <t>What comment styles exist in Java?</t>
  </si>
  <si>
    <t>Single line //, multi-line /* ... */, and documentation comments /** ... */ used by the javadoc tool.</t>
  </si>
  <si>
    <t>Comments (#, docstrings)</t>
  </si>
  <si>
    <t>What comment styles exist in Python?</t>
  </si>
  <si>
    <t>Single line # only. Triple-quoted strings used as docstrings document modules, classes and functions (accessible via __doc__).</t>
  </si>
  <si>
    <t>Python has no block comment; docstrings are real runtime objects.</t>
  </si>
  <si>
    <t>Keywords, identifiers</t>
  </si>
  <si>
    <t>What are keywords and identifier rules in Java?</t>
  </si>
  <si>
    <t>Reserved words (class, public, static, final, if, for, etc.) cannot be identifiers. Identifiers start with a letter, _ or $, are case-sensitive; convention: camelCase variables, PascalCase classes, UPPER_CASE constants.</t>
  </si>
  <si>
    <t>What are keywords and identifier rules in Python?</t>
  </si>
  <si>
    <t>Reserved words (def, class, lambda, yield, async, None, True, etc.) listed by keyword.kwlist. Identifiers start with a letter or _, are case-sensitive; convention: snake_case, PascalCase classes, UPPER_CASE constants.</t>
  </si>
  <si>
    <t>Naming conventions differ: camelCase (Java) vs snake_case (Python).</t>
  </si>
  <si>
    <t>Command-line arguments (args[])</t>
  </si>
  <si>
    <t>How do you read command-line arguments in Java?</t>
  </si>
  <si>
    <t>Through the String[] args parameter of main. java App a b gives args[0]="a", args[1]="b". All values are Strings and must be parsed (Integer.parseInt).</t>
  </si>
  <si>
    <t>sys.argv, argparse</t>
  </si>
  <si>
    <t>How do you read command-line arguments in Python?</t>
  </si>
  <si>
    <t>sys.argv list (argv[0] is the script name) for simple use; argparse module for flags, help text, types and validation.</t>
  </si>
  <si>
    <t>Python has a built-in rich parser (argparse); Java usually needs a library like picocli.</t>
  </si>
  <si>
    <t>Math class, Random</t>
  </si>
  <si>
    <t>Which Java classes handle math and random numbers?</t>
  </si>
  <si>
    <t>Math (abs, pow, sqrt, ceil, floor, round, max, min), Random and ThreadLocalRandom, SecureRandom for security, StrictMath.</t>
  </si>
  <si>
    <t>math, random, statistics, decimal, fractions</t>
  </si>
  <si>
    <t>Which Python modules handle math and random numbers?</t>
  </si>
  <si>
    <t>math (sqrt, pow, ceil, floor, pi), random (randint, choice, shuffle, sample), statistics (mean, median), decimal and fractions for exact arithmetic, secrets for secure random.</t>
  </si>
  <si>
    <t>Python ships statistics, fractions and decimal in the standard library.</t>
  </si>
  <si>
    <t>NA</t>
  </si>
  <si>
    <t>__name__ == "__main__", Python 2 vs 3 differences</t>
  </si>
  <si>
    <t>What is __name__ == "__main__" and what changed from Python 2 to 3?</t>
  </si>
  <si>
    <t>__name__ is "__main__" when the file is run directly and the module name when imported, so the guarded block runs only on direct execution. Python 3: print() function, true division, Unicode str by default, range replaces xrange.</t>
  </si>
  <si>
    <t>Java always starts from main; Python needs this guard to separate import from execution.</t>
  </si>
  <si>
    <t>Javadoc</t>
  </si>
  <si>
    <t>What is Javadoc?</t>
  </si>
  <si>
    <t>Tool that generates HTML API docs from /** */ comments with tags like @param, @return, @throws, @author, @see.</t>
  </si>
  <si>
    <t>Docstrings, Sphinx</t>
  </si>
  <si>
    <t>What are docstrings and Sphinx?</t>
  </si>
  <si>
    <t>Docstrings are triple-quoted strings at the start of a module, class or function, readable with help() and __doc__. Sphinx builds HTML docs from them (Google or NumPy style).</t>
  </si>
  <si>
    <t>Javadoc is a comment processed by a tool; a docstring is an actual attribute at runtime.</t>
  </si>
  <si>
    <t>Unicode, character encoding</t>
  </si>
  <si>
    <t>How does Java handle Unicode and encodings?</t>
  </si>
  <si>
    <t>char is a 16-bit UTF-16 code unit; String is UTF-16 internally. Use StandardCharsets.UTF_8 when converting bytes. Characters beyond the BMP need two chars (surrogate pairs) or codePoint methods.</t>
  </si>
  <si>
    <t>Unicode, encode()/decode()</t>
  </si>
  <si>
    <t>How does Python handle Unicode and encodings?</t>
  </si>
  <si>
    <t>str is Unicode (code points) by default. encode("utf-8") gives bytes; decode converts back. Always specify encoding when opening text files.</t>
  </si>
  <si>
    <t>Python 3 strings are Unicode code points; Java strings are UTF-16 units.</t>
  </si>
  <si>
    <t>Bit manipulation</t>
  </si>
  <si>
    <t>How do you do bit manipulation in Java?</t>
  </si>
  <si>
    <t>Operators: AND, OR, XOR, NOT (~), left shift (&lt;&lt;), signed right shift (&gt;&gt;), unsigned right shift (&gt;&gt;&gt;). Integer.bitCount, toBinaryString help. Useful for flags, masks, swaps.</t>
  </si>
  <si>
    <t>How do you do bit manipulation in Python?</t>
  </si>
  <si>
    <t>Same operators except no unsigned shift (ints are arbitrary precision): AND, OR, XOR, ~, &lt;&lt; and &gt;&gt;. bin(), int(x,2), int.bit_count() (3.10+).</t>
  </si>
  <si>
    <t>Java has fixed widths and &gt;&gt;&gt;. Python ints never overflow, so no unsigned shift.</t>
  </si>
  <si>
    <t>Static import</t>
  </si>
  <si>
    <t>What is static import in Java?</t>
  </si>
  <si>
    <t>import static java.lang.Math.*; lets you call sqrt() without the class name. Use sparingly to keep code readable.</t>
  </si>
  <si>
    <t>from module import name</t>
  </si>
  <si>
    <t>How does from-import work in Python?</t>
  </si>
  <si>
    <t>from math import sqrt, pi imports specific names; import math as m aliases a module; from x import * imports everything (discouraged).</t>
  </si>
  <si>
    <t>Both shorten names. Python imports are used constantly; Java static import is rare.</t>
  </si>
  <si>
    <t>Static typing, variable declaration</t>
  </si>
  <si>
    <t>What is static typing and variable declaration in Java?</t>
  </si>
  <si>
    <t>You declare the type and it cannot change: int age = 25; String name = "A"; Errors are caught at compile time. Declare many: int a = 1, b = 2;</t>
  </si>
  <si>
    <t>Dynamic typing, variable assignment</t>
  </si>
  <si>
    <t>What is dynamic typing and assignment in Python?</t>
  </si>
  <si>
    <t>No declaration: age = 25 creates a name bound to an object; later age = "x" is legal. Type is attached to the object, checked at runtime. Names are references.</t>
  </si>
  <si>
    <t>Java catches type errors early; Python is flexible but errors appear at runtime.</t>
  </si>
  <si>
    <t>Variable scope (local, instance, static)</t>
  </si>
  <si>
    <t>What are variable scopes in Java?</t>
  </si>
  <si>
    <t>Local (inside method or block), instance (field per object), static (one per class). Local variables must be initialized; fields get defaults (0, null, false). Block scope with braces.</t>
  </si>
  <si>
    <t>LEGB scope, global, nonlocal</t>
  </si>
  <si>
    <t>What is variable scope in Python (LEGB)?</t>
  </si>
  <si>
    <t>Lookup: Local, Enclosing, Global, Built-in. Use global to assign module variables and nonlocal for enclosing function variables. No block scope: loop and if variables leak into the function.</t>
  </si>
  <si>
    <t>Java has block scope; Python has function scope only.</t>
  </si>
  <si>
    <t>var (type inference)</t>
  </si>
  <si>
    <t>What is var in Java?</t>
  </si>
  <si>
    <t>Java 10 local variable type inference: var list = new ArrayList&lt;String&gt;(); type is fixed at compile time. Not allowed for fields, parameters or without initializer.</t>
  </si>
  <si>
    <t>Dynamic typing (built in)</t>
  </si>
  <si>
    <t>How does Python handle inferred types?</t>
  </si>
  <si>
    <t>Every variable is dynamically typed, so no keyword is needed; use type hints (x: int = 5) for documentation and static checkers.</t>
  </si>
  <si>
    <t>Java var is still static; Python is dynamic by design.</t>
  </si>
  <si>
    <t>Primitives (byte, short, int, long, float, double, char, boolean)</t>
  </si>
  <si>
    <t>What are the primitive data types in Java?</t>
  </si>
  <si>
    <t>byte (8-bit), short (16), int (32), long (64, suffix L), float (32, suffix f), double (64), char (16-bit), boolean. Fixed size and range; default values apply to fields. int overflows silently.</t>
  </si>
  <si>
    <t>int, float, complex, bool, str, NoneType</t>
  </si>
  <si>
    <t>What are the basic data types in Python?</t>
  </si>
  <si>
    <t>int (unlimited size), float (64-bit), complex (3+4j), bool (True/False, subclass of int), str, NoneType. Everything is an object; check with type() or isinstance().</t>
  </si>
  <si>
    <t>Java has 8 fixed-size primitives; Python has no primitives and ints never overflow.</t>
  </si>
  <si>
    <t>Type casting (implicit/explicit)</t>
  </si>
  <si>
    <t>How does type casting work in Java?</t>
  </si>
  <si>
    <t>Widening is automatic (int to long). Narrowing needs a cast: int x = (int) 3.9 gives 3 and may lose data. Strings convert with Integer.parseInt and String.valueOf.</t>
  </si>
  <si>
    <t>Type conversion (int(), float(), str())</t>
  </si>
  <si>
    <t>How does type conversion work in Python?</t>
  </si>
  <si>
    <t>Explicit constructors: int("5"), float("3.2"), str(10), list("ab"), bool(0). int(3.9) truncates to 3. Invalid input raises ValueError. Python does implicit widening in mixed arithmetic.</t>
  </si>
  <si>
    <t>Java uses cast syntax; Python uses constructor functions.</t>
  </si>
  <si>
    <t>Wrapper classes, autoboxing/unboxing</t>
  </si>
  <si>
    <t>What are wrapper classes, autoboxing and unboxing?</t>
  </si>
  <si>
    <t>Integer, Long, Double, Character, Boolean etc. wrap primitives so they can be used in collections and generics and can be null. Autoboxing converts automatically; Integer caches -128 to 127. Prefer equals() for comparison.</t>
  </si>
  <si>
    <t>Python has no primitives, so wrappers are not needed.</t>
  </si>
  <si>
    <t>Mutable vs immutable (String, final)</t>
  </si>
  <si>
    <t>What is mutable vs immutable in Java?</t>
  </si>
  <si>
    <t>String and wrapper classes are immutable; arrays, ArrayList, StringBuilder are mutable. final makes a reference constant, not the object. Immutable objects are thread-safe.</t>
  </si>
  <si>
    <t>Mutable vs immutable (list vs tuple)</t>
  </si>
  <si>
    <t>What is mutable vs immutable in Python?</t>
  </si>
  <si>
    <t>Immutable: int, float, str, tuple, frozenset, bytes. Mutable: list, dict, set, bytearray, custom objects. Only immutables (with hashable contents) can be dict keys.</t>
  </si>
  <si>
    <t>Concept is the same; Python makes it central to hashing and default arguments.</t>
  </si>
  <si>
    <t>Cloning (clone()), shallow vs deep copy</t>
  </si>
  <si>
    <t>How do you copy or clone objects in Java?</t>
  </si>
  <si>
    <t>Assignment copies the reference. clone() (Cloneable) gives a shallow copy by default; deep copy needs manual cloning, copy constructors or serialization.</t>
  </si>
  <si>
    <t>copy.copy(), copy.deepcopy()</t>
  </si>
  <si>
    <t>How do you copy objects in Python?</t>
  </si>
  <si>
    <t>Assignment binds another name. copy.copy() (shallow, also list[:] or list.copy()) and copy.deepcopy() (recursive). Nested mutables stay shared in a shallow copy.</t>
  </si>
  <si>
    <t>Python gives ready-made copy/deepcopy; Java clone() is awkward and discouraged.</t>
  </si>
  <si>
    <t>Unpacking, slicing, bytes, bytearray, range</t>
  </si>
  <si>
    <t>What are unpacking, slicing, bytes, bytearray and range in Python?</t>
  </si>
  <si>
    <t>Unpacking: a, b = (1, 2); first, *rest = items. Slicing: s[1:5:2], s[::-1]. bytes (immutable) and bytearray (mutable) hold raw data. range(0, 10, 2) is a lazy integer sequence.</t>
  </si>
  <si>
    <t>Java has no slicing or tuple unpacking; it uses arrays, subList, byte[] and loops.</t>
  </si>
  <si>
    <t>BigInteger, BigDecimal</t>
  </si>
  <si>
    <t>What are BigInteger and BigDecimal?</t>
  </si>
  <si>
    <t>Classes in java.math for arbitrary-size integers and exact decimals (money). Use methods add, multiply, divide with MathContext; compare with compareTo, not equals, for scale.</t>
  </si>
  <si>
    <t>Built-in arbitrary-precision int, decimal</t>
  </si>
  <si>
    <t>How does Python handle big numbers and exact decimals?</t>
  </si>
  <si>
    <t>int is arbitrary precision natively (2**1000 works). decimal.Decimal gives exact decimal arithmetic; fractions.Fraction gives exact rationals.</t>
  </si>
  <si>
    <t>Python needs no big-number class for integers; Java does.</t>
  </si>
  <si>
    <t>Arithmetic, relational, logical, bitwise, assignment, ternary</t>
  </si>
  <si>
    <t>What operators exist in Java?</t>
  </si>
  <si>
    <t>Arithmetic (+ - * / %), relational, logical (AND and OR operators with short circuit), bitwise, assignment (+=), increment (++ --), ternary (cond ? a : b). Integer division truncates.</t>
  </si>
  <si>
    <t>Arithmetic, comparison, logical, bitwise, assignment, ternary expression</t>
  </si>
  <si>
    <t>What operators exist in Python?</t>
  </si>
  <si>
    <t>Arithmetic including // (floor division) and ** (power), comparison with chaining (1 &lt; x &lt; 5), logical and, or, not, bitwise, assignment, conditional expression (a if cond else b). No ++ or --.</t>
  </si>
  <si>
    <t>Python has // and **, chained comparisons, and words and, or, not instead of symbols.</t>
  </si>
  <si>
    <t>instanceof</t>
  </si>
  <si>
    <t>What does instanceof do in Java?</t>
  </si>
  <si>
    <t>Tests whether an object is an instance of a type: if (obj instanceof String s) (pattern matching, Java 16) binds s without a cast.</t>
  </si>
  <si>
    <t>Identity (is), membership (in), walrus (:=)</t>
  </si>
  <si>
    <t>What do is, in, isinstance and := do in Python?</t>
  </si>
  <si>
    <t>is tests identity, in tests membership, isinstance(obj, cls) tests type, and := (walrus) assigns inside an expression: if (n := len(a)) &gt; 5.</t>
  </si>
  <si>
    <t>Python splits these into several operators; Java uses one instanceof.</t>
  </si>
  <si>
    <t>Scanner, BufferedReader, System.out</t>
  </si>
  <si>
    <t>How do you read input and print in Java?</t>
  </si>
  <si>
    <t>System.out.println/print/printf for output. Input with Scanner(System.in) (nextInt, nextLine) or BufferedReader.readLine() (faster).</t>
  </si>
  <si>
    <t>input(), print()</t>
  </si>
  <si>
    <t>How do you read input and print in Python?</t>
  </si>
  <si>
    <t>print() with sep and end parameters; input() always returns a str, so convert with int(input()).</t>
  </si>
  <si>
    <t>Python needs one line; Java needs a Scanner object and imports.</t>
  </si>
  <si>
    <t>Java I/O streams, Console, Reader/Writer</t>
  </si>
  <si>
    <t>What are Java I/O streams?</t>
  </si>
  <si>
    <t>Byte streams (InputStream, OutputStream) and character streams (Reader, Writer), decorated with Buffered, Data, Object streams. System.in, System.out, System.err are standard streams.</t>
  </si>
  <si>
    <t>sys.stdin, sys.stdout, io module</t>
  </si>
  <si>
    <t>What do sys.stdin, sys.stdout and io offer in Python?</t>
  </si>
  <si>
    <t>sys.stdin/stdout/stderr are file-like objects. io.StringIO and io.BytesIO give in-memory files; open() returns io objects.</t>
  </si>
  <si>
    <t>Java has many stream classes to combine; Python uses one file-object interface.</t>
  </si>
  <si>
    <t>if, if-else, else-if</t>
  </si>
  <si>
    <t>How does conditional logic work in Java?</t>
  </si>
  <si>
    <t>if, else if, else with braces and parenthesized conditions; ternary operator for short forms. Conditions must be boolean (no truthy values).</t>
  </si>
  <si>
    <t>if, elif, else</t>
  </si>
  <si>
    <t>How does conditional logic work in Python?</t>
  </si>
  <si>
    <t>if, elif, else with a colon and indentation. Any object can be a condition (truthy and falsy: 0, "", [], None are False).</t>
  </si>
  <si>
    <t>Python allows truthy values; Java needs strict boolean.</t>
  </si>
  <si>
    <t>switch, switch expressions</t>
  </si>
  <si>
    <t>What are switch and switch expressions in Java?</t>
  </si>
  <si>
    <t>Classic switch with case, break and default (fall-through). Java 14 switch expressions use arrows and return a value: String s = switch (d) { case 1 -&gt; "Mon"; default -&gt; "?"; };</t>
  </si>
  <si>
    <t>match-case</t>
  </si>
  <si>
    <t>What is match-case in Python?</t>
  </si>
  <si>
    <t>Structural pattern matching (3.10): match x: case 1: ... case [a, b]: ... case {"k": v}: ... case _:. Matches values, sequences, mappings and class patterns with guards.</t>
  </si>
  <si>
    <t>Python match is more powerful (shape matching); older Python had only if-elif chains.</t>
  </si>
  <si>
    <t>for, while, do-while, for-each</t>
  </si>
  <si>
    <t>What loops exist in Java?</t>
  </si>
  <si>
    <t>for, enhanced for-each, while, do-while (runs at least once). Example: for (int i = 0; i &lt; n; i++), for (String s : list).</t>
  </si>
  <si>
    <t>for, while</t>
  </si>
  <si>
    <t>What loops exist in Python?</t>
  </si>
  <si>
    <t>for item in iterable (works with range, lists, strings, dicts) and while. No do-while and no C-style for; use range().</t>
  </si>
  <si>
    <t>Python for always iterates over a sequence; Java has a counter-style for.</t>
  </si>
  <si>
    <t>break, continue, labeled break</t>
  </si>
  <si>
    <t>How do break and continue work in Java?</t>
  </si>
  <si>
    <t>break exits the loop (or switch), continue skips to next iteration, labeled break/continue (outer: for...) jumps out of nested loops. No pass statement.</t>
  </si>
  <si>
    <t>break, continue, pass</t>
  </si>
  <si>
    <t>How do break, continue and pass work in Python?</t>
  </si>
  <si>
    <t>break exits, continue skips, pass is a do-nothing placeholder for empty blocks. No labeled break; use functions, flags or exceptions for nested loops.</t>
  </si>
  <si>
    <t>Java has labels; Python has pass.</t>
  </si>
  <si>
    <t>Loop with else clause</t>
  </si>
  <si>
    <t>What is the loop else clause in Python?</t>
  </si>
  <si>
    <t>else after for or while runs only if the loop finished without break: for x in a: if x == t: break else: print("not found").</t>
  </si>
  <si>
    <t>Java has no equivalent; use a boolean flag.</t>
  </si>
  <si>
    <t>String, immutability, string pool</t>
  </si>
  <si>
    <t>How do Strings work in Java?</t>
  </si>
  <si>
    <t>String is immutable and stored in the string pool for literals. Methods: length, charAt, substring, indexOf, equals, split, replace, trim. Use equals(), not ==, to compare content.</t>
  </si>
  <si>
    <t>str, immutability, slicing</t>
  </si>
  <si>
    <t>How do str work in Python?</t>
  </si>
  <si>
    <t>str is immutable Unicode text. Supports indexing, slicing (s[1:4]), negative indexes, in operator, methods like split, join, strip, replace, find, upper.</t>
  </si>
  <si>
    <t>Python strings support slicing and negative indexes; Java uses substring/charAt.</t>
  </si>
  <si>
    <t>String.format, text blocks</t>
  </si>
  <si>
    <t>How do you format strings in Java?</t>
  </si>
  <si>
    <t>String.format("%s is %d", name, age), printf, formatted(), and text blocks (""" ... """) for multi-line text. Concatenate with + or StringBuilder.</t>
  </si>
  <si>
    <t>f-strings, format(), multiline strings</t>
  </si>
  <si>
    <t>How do you format strings in Python?</t>
  </si>
  <si>
    <t>f-strings (f"{name} is {age:.2f}") preferred, str.format(), % formatting, triple-quoted multi-line strings.</t>
  </si>
  <si>
    <t>Python f-strings embed expressions directly and are shorter.</t>
  </si>
  <si>
    <t>StringBuilder, StringBuffer</t>
  </si>
  <si>
    <t>What are StringBuilder and StringBuffer?</t>
  </si>
  <si>
    <t>Mutable character sequences. StringBuilder is fast and not thread-safe; StringBuffer is synchronized. Use for loops: sb.append(x), insert, reverse, delete, toString().</t>
  </si>
  <si>
    <t>NA (use join / f-strings)</t>
  </si>
  <si>
    <t>Python uses "".join(list_of_parts) or io.StringIO; no builder class needed.</t>
  </si>
  <si>
    <t>1D and 2D arrays, array methods</t>
  </si>
  <si>
    <t>How do arrays work in Java?</t>
  </si>
  <si>
    <t>Fixed-size, typed, zero-indexed: int[] a = new int[5]; int[][] g = new int[3][4]; length field; Arrays.sort, Arrays.toString, Arrays.fill, Arrays.copyOf. Out-of-range gives ArrayIndexOutOfBoundsException.</t>
  </si>
  <si>
    <t>List-based arrays, array module</t>
  </si>
  <si>
    <t>How are arrays done in Python?</t>
  </si>
  <si>
    <t>Use list for general arrays (dynamic, mixed types); array.array for compact typed arrays; NumPy for numeric arrays. 2D: list of lists. IndexError for bad index.</t>
  </si>
  <si>
    <t>Java arrays are fixed and typed; Python lists are dynamic and mixed.</t>
  </si>
  <si>
    <t>ArrayList, Vector</t>
  </si>
  <si>
    <t>What are ArrayList and Vector?</t>
  </si>
  <si>
    <t>ArrayList is a resizable array (O(1) get, add at end amortized); Vector is the older synchronized version. Methods: add, get, set, remove, size, contains.</t>
  </si>
  <si>
    <t>list</t>
  </si>
  <si>
    <t>What is a list in Python?</t>
  </si>
  <si>
    <t>Dynamic, ordered, mutable, heterogeneous sequence: [1, "a", 3.5]. Methods: append, extend, insert, remove, pop, sort, reverse, index, count. Slicing works.</t>
  </si>
  <si>
    <t>Both are dynamic arrays; Python list is built in and untyped.</t>
  </si>
  <si>
    <t>tuple</t>
  </si>
  <si>
    <t>What is a tuple in Python?</t>
  </si>
  <si>
    <t>Immutable ordered sequence: t = (1, 2, 3). Faster and smaller than lists, hashable (if elements are), used for fixed records, dict keys and multiple return values. Single element needs a comma: (1,).</t>
  </si>
  <si>
    <t>Java has no tuple; use arrays, records or small classes.</t>
  </si>
  <si>
    <t>HashSet, LinkedHashSet, TreeSet</t>
  </si>
  <si>
    <t>What are HashSet, LinkedHashSet and TreeSet?</t>
  </si>
  <si>
    <t>Set implementations of unique items: HashSet (unordered, O(1)), LinkedHashSet (insertion order), TreeSet (sorted, O(log n)). Rely on equals and hashCode (or compareTo for TreeSet).</t>
  </si>
  <si>
    <t>set, frozenset</t>
  </si>
  <si>
    <t>What are set and frozenset in Python?</t>
  </si>
  <si>
    <t>set is a mutable unordered collection of unique hashable items ({1, 2}); frozenset is immutable. Operations: union, intersection, difference, symmetric_difference, add, discard.</t>
  </si>
  <si>
    <t>Python set has built-in math operations; sorted sets need sorted().</t>
  </si>
  <si>
    <t>HashMap, LinkedHashMap, TreeMap, Hashtable</t>
  </si>
  <si>
    <t>What are HashMap, LinkedHashMap, TreeMap and Hashtable?</t>
  </si>
  <si>
    <t>Key-value maps: HashMap (unordered, one null key), LinkedHashMap (insertion order), TreeMap (sorted keys), Hashtable (legacy, synchronized). Methods: put, get, getOrDefault, containsKey, remove, entrySet.</t>
  </si>
  <si>
    <t>dict, OrderedDict, defaultdict</t>
  </si>
  <si>
    <t>What are dict, OrderedDict and defaultdict?</t>
  </si>
  <si>
    <t>dict is a hash map keeping insertion order (3.7+): d = {"a": 1}; d.get(k, default), items(), keys(), values(), update. defaultdict provides default values; OrderedDict adds move_to_end.</t>
  </si>
  <si>
    <t>Python dict is the single built-in map, ordered by default.</t>
  </si>
  <si>
    <t>LinkedList</t>
  </si>
  <si>
    <t>What is LinkedList in Java?</t>
  </si>
  <si>
    <t>Doubly linked list implementing List and Deque: O(1) insert/remove at ends, O(n) index access. Rarely better than ArrayList in practice.</t>
  </si>
  <si>
    <t>list / collections.deque</t>
  </si>
  <si>
    <t>How do you get linked-list behavior in Python?</t>
  </si>
  <si>
    <t>There is no built-in linked list. list works as a dynamic array; collections.deque gives O(1) operations at both ends; custom node classes build true linked lists.</t>
  </si>
  <si>
    <t>Python relies on deque; Java ships LinkedList.</t>
  </si>
  <si>
    <t>Stack, Queue, Deque, PriorityQueue</t>
  </si>
  <si>
    <t>What are Stack, Queue, Deque and PriorityQueue?</t>
  </si>
  <si>
    <t>Queue (offer, poll, peek), Deque/ArrayDeque for stack and queue use (push, pop), PriorityQueue (heap by priority), legacy Stack class (avoid).</t>
  </si>
  <si>
    <t>deque, queue module, heapq</t>
  </si>
  <si>
    <t>How do you implement stack, queue and priority queue in Python?</t>
  </si>
  <si>
    <t>Stack: list with append/pop. Queue: collections.deque with append/popleft or queue.Queue (thread-safe). Priority queue: heapq (min-heap) or queue.PriorityQueue.</t>
  </si>
  <si>
    <t>Python reuses list/deque/heapq instead of dedicated classes.</t>
  </si>
  <si>
    <t>Iterator, ListIterator</t>
  </si>
  <si>
    <t>What are Iterator and ListIterator?</t>
  </si>
  <si>
    <t>Iterator (hasNext, next, remove) traverses any Collection; ListIterator also goes backward and can add or set. for-each uses Iterator internally.</t>
  </si>
  <si>
    <t>Iterators, iterables</t>
  </si>
  <si>
    <t>What are iterators and iterables in Python?</t>
  </si>
  <si>
    <t>Iterable implements __iter__; iterator implements __next__ and raises StopIteration at the end. for loops call iter() and next(). Generators are iterators.</t>
  </si>
  <si>
    <t>Both follow the iterator pattern; Python builds it into the language protocol.</t>
  </si>
  <si>
    <t>Collections utility class</t>
  </si>
  <si>
    <t>What does the Collections utility class offer?</t>
  </si>
  <si>
    <t>Static helpers: sort, reverse, shuffle, max, min, frequency, unmodifiableList, synchronizedList, binarySearch, emptyList.</t>
  </si>
  <si>
    <t>Built-ins (sorted, map, filter, zip, enumerate)</t>
  </si>
  <si>
    <t>What built-in helpers work on collections in Python?</t>
  </si>
  <si>
    <t>sorted, reversed, min, max, sum, len, any, all, map, filter, zip, enumerate, plus the bisect, heapq and itertools modules.</t>
  </si>
  <si>
    <t>Python helpers are global built-ins that work with any iterable.</t>
  </si>
  <si>
    <t>Comparable, Comparator</t>
  </si>
  <si>
    <t>What are Comparable and Comparator?</t>
  </si>
  <si>
    <t>Comparable.compareTo defines natural ordering inside the class. Comparator.compare defines custom orderings: list.sort(Comparator.comparing(Person::getAge).thenComparing(Person::getName)).</t>
  </si>
  <si>
    <t>sorted() with key, functools.cmp_to_key</t>
  </si>
  <si>
    <t>How do you customize sorting in Python?</t>
  </si>
  <si>
    <t>sorted(items, key=lambda p: (p.age, p.name), reverse=True). Define __lt__ for class ordering or use functools.cmp_to_key for old-style comparators.</t>
  </si>
  <si>
    <t>Python uses a key function; Java uses comparator objects.</t>
  </si>
  <si>
    <t>Streams API</t>
  </si>
  <si>
    <t>What is the Streams API in Java?</t>
  </si>
  <si>
    <t>Pipeline over collections: stream().filter(...).map(...).sorted().collect(Collectors.toList()). Lazy intermediate ops, one terminal op; supports reduce, groupingBy, flatMap, parallelStream.</t>
  </si>
  <si>
    <t>List/dict/set comprehensions, generator expressions</t>
  </si>
  <si>
    <t>What are comprehensions and generator expressions?</t>
  </si>
  <si>
    <t>[x*x for x in a if x &gt; 0], {k: v for ...}, {x for ...}, and lazy (x*x for x in a). Combine with map, filter, sum, any, all.</t>
  </si>
  <si>
    <t>Comprehensions are Python's shorter equivalent of streams.</t>
  </si>
  <si>
    <t>Counter, ChainMap, namedtuple</t>
  </si>
  <si>
    <t>What are Counter, ChainMap and namedtuple?</t>
  </si>
  <si>
    <t>collections.Counter counts items (most_common); ChainMap searches several dicts as one; namedtuple creates lightweight immutable records with named fields.</t>
  </si>
  <si>
    <t>Java would use Map.merge, custom classes or records.</t>
  </si>
  <si>
    <t>EnumSet, EnumMap, IdentityHashMap, WeakHashMap</t>
  </si>
  <si>
    <t>What are EnumSet, EnumMap, IdentityHashMap and WeakHashMap?</t>
  </si>
  <si>
    <t>EnumSet/EnumMap are fast collections keyed by enums; IdentityHashMap compares keys with ==; WeakHashMap lets keys be garbage collected.</t>
  </si>
  <si>
    <t>NA (weakref.WeakKeyDictionary)</t>
  </si>
  <si>
    <t>NA (weakref.WeakKeyDictionary and WeakValueDictionary give weak maps; enums work as normal dict keys)</t>
  </si>
  <si>
    <t>Specialized Java collections; Python covers them with plain dict and weakref.</t>
  </si>
  <si>
    <t>Fail-fast vs fail-safe iterators</t>
  </si>
  <si>
    <t>What are fail-fast and fail-safe iterators?</t>
  </si>
  <si>
    <t>Fail-fast iterators (ArrayList, HashMap) throw ConcurrentModificationException if the collection changes during iteration. Fail-safe ones (CopyOnWriteArrayList, ConcurrentHashMap) iterate over a snapshot or weakly consistent view.</t>
  </si>
  <si>
    <t>NA (changing a dict size during iteration raises RuntimeError; copy first with list(d))</t>
  </si>
  <si>
    <t>Python only has a simple runtime error for dict size changes.</t>
  </si>
  <si>
    <t>ConcurrentHashMap, CopyOnWriteArrayList</t>
  </si>
  <si>
    <t>What are ConcurrentHashMap and CopyOnWriteArrayList?</t>
  </si>
  <si>
    <t>Thread-safe collections: ConcurrentHashMap uses CAS and bin-level locks for high concurrency; CopyOnWriteArrayList copies the array on each write (good for read-heavy lists).</t>
  </si>
  <si>
    <t>NA (use locks, queue)</t>
  </si>
  <si>
    <t>NA (use threading.Lock around dict/list or queue.Queue; the GIL protects single operations only)</t>
  </si>
  <si>
    <t>Python has no concurrent map; locks or queues are used instead.</t>
  </si>
  <si>
    <t>Parallel streams</t>
  </si>
  <si>
    <t>What are parallel streams?</t>
  </si>
  <si>
    <t>list.parallelStream() splits work over the ForkJoin common pool. Good for large CPU-bound stateless tasks; bad for small data, I/O or shared state.</t>
  </si>
  <si>
    <t>NA (multiprocessing.Pool)</t>
  </si>
  <si>
    <t>NA (use multiprocessing.Pool.map or concurrent.futures.ProcessPoolExecutor)</t>
  </si>
  <si>
    <t>Python needs separate processes because of the GIL.</t>
  </si>
  <si>
    <t>Methods, parameters, return types</t>
  </si>
  <si>
    <t>How are methods defined in Java?</t>
  </si>
  <si>
    <t>Return type, name, parameters: public static int add(int a, int b) { return a + b; }. Must live in a class; parameters are passed by value; void returns nothing.</t>
  </si>
  <si>
    <t>Functions, parameters, return values</t>
  </si>
  <si>
    <t>How are functions defined in Python?</t>
  </si>
  <si>
    <t>def add(a, b=0): return a + b. Defaults, keyword arguments, multiple return values (tuples), type hints optional, functions are first-class objects.</t>
  </si>
  <si>
    <t>Python functions live anywhere and support keyword and default arguments.</t>
  </si>
  <si>
    <t>Method overloading</t>
  </si>
  <si>
    <t>What is method overloading?</t>
  </si>
  <si>
    <t>Same method name with different parameter types or count in the same class, resolved at compile time: print(int), print(String).</t>
  </si>
  <si>
    <t>NA (use default arguments)</t>
  </si>
  <si>
    <t>NA (one function with default arguments, *args, or functools.singledispatch replaces overloading)</t>
  </si>
  <si>
    <t>Python rebinds the name; the last def wins, so overloading is not available.</t>
  </si>
  <si>
    <t>Varargs</t>
  </si>
  <si>
    <t>What are varargs in Java?</t>
  </si>
  <si>
    <t>Type... args allows any number of arguments as an array: static int sum(int... n). Must be the last parameter; only one per method.</t>
  </si>
  <si>
    <t>*args, **kwargs</t>
  </si>
  <si>
    <t>What are *args and **kwargs in Python?</t>
  </si>
  <si>
    <t>*args collects extra positional arguments into a tuple; **kwargs collects keyword arguments into a dict; * and ** also unpack when calling.</t>
  </si>
  <si>
    <t>Python adds keyword varargs (**kwargs); Java only has positional varargs.</t>
  </si>
  <si>
    <t>Recursion</t>
  </si>
  <si>
    <t>How does recursion work in Java?</t>
  </si>
  <si>
    <t>A method calls itself with a base case, e.g. factorial. Each call uses a stack frame; deep recursion throws StackOverflowError. No tail-call optimization.</t>
  </si>
  <si>
    <t>How does recursion work in Python?</t>
  </si>
  <si>
    <t>Same idea; default recursion limit is about 1000 (sys.setrecursionlimit) and exceeding it raises RecursionError. No tail-call optimization; use lru_cache or loops.</t>
  </si>
  <si>
    <t>Both lack tail-call optimization; prefer loops for deep recursion.</t>
  </si>
  <si>
    <t>Lambda expressions, functional interfaces</t>
  </si>
  <si>
    <t>What are lambdas and functional interfaces in Java?</t>
  </si>
  <si>
    <t>Lambdas (a, b) -&gt; a + b implement single-method interfaces (Runnable, Comparator, Function, Predicate, Consumer, Supplier). Used heavily with streams. Variables captured must be effectively final.</t>
  </si>
  <si>
    <t>Lambda, map, filter, reduce</t>
  </si>
  <si>
    <t>What are lambda, map, filter and reduce in Python?</t>
  </si>
  <si>
    <t>lambda x: x * 2 is a one-expression anonymous function. map(f, it), filter(f, it) are lazy; functools.reduce folds a sequence. Comprehensions are often preferred.</t>
  </si>
  <si>
    <t>Python lambdas are plain functions; Java lambdas need a target interface.</t>
  </si>
  <si>
    <t>Closures, nested functions</t>
  </si>
  <si>
    <t>What are closures and nested functions in Python?</t>
  </si>
  <si>
    <t>An inner function can use variables of its enclosing function after it returns (closure); nonlocal modifies them. Used for factories, callbacks and decorators.</t>
  </si>
  <si>
    <t>Java lambdas capture only effectively final variables; no true mutable closures.</t>
  </si>
  <si>
    <t>Generators, yield</t>
  </si>
  <si>
    <t>What are generators and yield in Python?</t>
  </si>
  <si>
    <t>A function with yield returns a lazy iterator, pausing and resuming: def count(n): for i in range(n): yield i. Saves memory; yield from delegates; generator expressions are the short form.</t>
  </si>
  <si>
    <t>Java would use Iterator or Stream.generate.</t>
  </si>
  <si>
    <t>itertools, functools</t>
  </si>
  <si>
    <t>What are itertools and functools in Python?</t>
  </si>
  <si>
    <t>itertools: chain, cycle, islice, permutations, combinations, product, groupby, accumulate. functools: reduce, partial, lru_cache, wraps, cached_property, singledispatch.</t>
  </si>
  <si>
    <t>Java uses Streams and Collectors for similar needs.</t>
  </si>
  <si>
    <t>Method references</t>
  </si>
  <si>
    <t>What are method references in Java?</t>
  </si>
  <si>
    <t>Shorthand lambdas: String::length, System.out::println, Person::new. Four kinds: static, bound instance, unbound instance, constructor.</t>
  </si>
  <si>
    <t>NA (pass the function itself, e.g. map(str.upper, words))</t>
  </si>
  <si>
    <t>Python functions are objects, so no special syntax is needed.</t>
  </si>
  <si>
    <t>@FunctionalInterface</t>
  </si>
  <si>
    <t>What is @FunctionalInterface?</t>
  </si>
  <si>
    <t>Annotation that makes the compiler enforce exactly one abstract method; allows default and static methods. Enables lambdas for custom interfaces.</t>
  </si>
  <si>
    <t>Callable objects (__call__)</t>
  </si>
  <si>
    <t>What are callable objects (__call__) in Python?</t>
  </si>
  <si>
    <t>Any object with __call__ can be called like a function: obj(). Useful for stateful callables and decorators; check with callable(x).</t>
  </si>
  <si>
    <t>Java needs an interface for lambdas; Python treats anything callable uniformly.</t>
  </si>
  <si>
    <t>Classes and objects</t>
  </si>
  <si>
    <t>What are classes and objects in Java?</t>
  </si>
  <si>
    <t>Class = blueprint with fields and methods; object = instance created with new: Car c = new Car(). Objects live on the heap; variables hold references.</t>
  </si>
  <si>
    <t>What are classes and objects in Python?</t>
  </si>
  <si>
    <t>class Car: ... ; c = Car(). Everything is an object, including classes and functions. Attributes can be added dynamically.</t>
  </si>
  <si>
    <t>Python objects are more dynamic; Java structure is fixed at compile time.</t>
  </si>
  <si>
    <t>Constructors, this keyword</t>
  </si>
  <si>
    <t>What are constructors and the this keyword in Java?</t>
  </si>
  <si>
    <t>Constructor has the class name and no return type, runs on new, can be overloaded; default no-arg constructor exists only if none is written. this refers to the current object and this(...) calls another constructor.</t>
  </si>
  <si>
    <t>__init__, self</t>
  </si>
  <si>
    <t>What are __init__ and self in Python?</t>
  </si>
  <si>
    <t>__init__(self, ...) initializes a new object; self is the explicit first parameter referring to the instance. Only one __init__ per class (use defaults or classmethods).</t>
  </si>
  <si>
    <t>Java has implicit this and overloading; Python has explicit self and one __init__.</t>
  </si>
  <si>
    <t>Inheritance (single, multilevel, hierarchical)</t>
  </si>
  <si>
    <t>How does inheritance work in Java?</t>
  </si>
  <si>
    <t>class Dog extends Animal inherits fields and methods; single class inheritance only (plus multiple interfaces). Types: single, multilevel, hierarchical. Constructors are not inherited; use super(...).</t>
  </si>
  <si>
    <t>How does inheritance work in Python?</t>
  </si>
  <si>
    <t>class Dog(Animal): inherits attributes and methods; supports single, multilevel, hierarchical and multiple inheritance. Methods are resolved through the MRO.</t>
  </si>
  <si>
    <t>Python allows multiple inheritance of classes; Java allows it only through interfaces.</t>
  </si>
  <si>
    <t>super keyword</t>
  </si>
  <si>
    <t>What does super do in Java?</t>
  </si>
  <si>
    <t>super.method() calls the parent version; super(args) calls the parent constructor and must be the first statement in a constructor; super.field accesses hidden fields.</t>
  </si>
  <si>
    <t>super()</t>
  </si>
  <si>
    <t>What does super() do in Python?</t>
  </si>
  <si>
    <t>super().__init__(...) and super().method() call the next class in the MRO (not just the direct parent), making cooperative multiple inheritance work.</t>
  </si>
  <si>
    <t>Python super follows the MRO; Java super is the direct parent.</t>
  </si>
  <si>
    <t>Polymorphism (overloading, overriding)</t>
  </si>
  <si>
    <t>What is polymorphism in Java?</t>
  </si>
  <si>
    <t>Compile-time (method overloading) and runtime (overriding with dynamic dispatch): Animal a = new Dog(); a.sound() calls Dog's version. Use @Override.</t>
  </si>
  <si>
    <t>Polymorphism (overriding, duck typing)</t>
  </si>
  <si>
    <t>What is polymorphism in Python?</t>
  </si>
  <si>
    <t>Method overriding plus duck typing: any object with the needed method works, no shared base type required. No overloading.</t>
  </si>
  <si>
    <t>Java relies on types and interfaces; Python relies on behavior (duck typing).</t>
  </si>
  <si>
    <t>Encapsulation, access modifiers</t>
  </si>
  <si>
    <t>What is encapsulation and access control in Java?</t>
  </si>
  <si>
    <t>Hide fields with private and expose through public getters and setters. Modifiers: private, default (package), protected, public. Enforced by the compiler.</t>
  </si>
  <si>
    <t>Encapsulation, naming conventions (_, __)</t>
  </si>
  <si>
    <t>How is encapsulation done in Python?</t>
  </si>
  <si>
    <t>By convention: _name means internal, __name triggers name mangling (_Class__name). Nothing is truly private; properties provide controlled access.</t>
  </si>
  <si>
    <t>Java enforces access; Python trusts the programmer.</t>
  </si>
  <si>
    <t>Getters/setters</t>
  </si>
  <si>
    <t>What are getters and setters in Java?</t>
  </si>
  <si>
    <t>Methods getX() and setX() that control field access and allow validation. Generated by IDEs or Lombok; basis of JavaBeans.</t>
  </si>
  <si>
    <t>@property decorator</t>
  </si>
  <si>
    <t>What is the @property decorator?</t>
  </si>
  <si>
    <t>@property turns a method into a read attribute; @x.setter and @x.deleter add write and delete logic. Callers use obj.x, so plain attributes can be upgraded later without changing the API.</t>
  </si>
  <si>
    <t>Python lets you start with public attributes and add properties later.</t>
  </si>
  <si>
    <t>Abstract classes, interfaces</t>
  </si>
  <si>
    <t>What are abstract classes and interfaces in Java?</t>
  </si>
  <si>
    <t>abstract class can have state, constructors and abstract plus concrete methods (single inheritance). interface defines a contract (abstract, default, static, private methods; constants) and a class can implement many.</t>
  </si>
  <si>
    <t>abc module, abstract base classes</t>
  </si>
  <si>
    <t>What are abstract base classes in Python?</t>
  </si>
  <si>
    <t>abc.ABC with @abstractmethod prevents instantiation until subclasses implement the methods. Protocols (typing.Protocol) allow structural typing; plain duck typing needs no declaration.</t>
  </si>
  <si>
    <t>Python has no interface keyword; ABCs or protocols play that role.</t>
  </si>
  <si>
    <t>static (variables, methods, blocks)</t>
  </si>
  <si>
    <t>What does static mean in Java?</t>
  </si>
  <si>
    <t>static members belong to the class: static fields (shared), static methods (no this), static blocks (run at class load), static nested classes. Access via ClassName.member.</t>
  </si>
  <si>
    <t>Class variables, @staticmethod, @classmethod</t>
  </si>
  <si>
    <t>How are class-level members done in Python?</t>
  </si>
  <si>
    <t>Class variables are defined in the class body (shared). @staticmethod takes no implicit argument; @classmethod receives cls and is used for alternate constructors.</t>
  </si>
  <si>
    <t>Python separates staticmethod and classmethod; Java only has static.</t>
  </si>
  <si>
    <t>Constructor overloading, chaining</t>
  </si>
  <si>
    <t>What are constructor overloading and chaining?</t>
  </si>
  <si>
    <t>Several constructors with different parameters; this(...) calls another constructor in the same class and super(...) calls the parent, avoiding duplicate code.</t>
  </si>
  <si>
    <t>NA (default args / classmethods)</t>
  </si>
  <si>
    <t>NA (use default arguments, keyword arguments or @classmethod factory methods)</t>
  </si>
  <si>
    <t>Python allows one __init__; classmethods act as named constructors.</t>
  </si>
  <si>
    <t>Multiple inheritance via interfaces only</t>
  </si>
  <si>
    <t>How does Java handle multiple inheritance?</t>
  </si>
  <si>
    <t>Classes cannot extend multiple classes; a class can implement multiple interfaces. If two default methods clash, the class must override and may call Interface.super.method().</t>
  </si>
  <si>
    <t>True multiple inheritance, MRO</t>
  </si>
  <si>
    <t>How does Python handle multiple inheritance and MRO?</t>
  </si>
  <si>
    <t>class C(A, B) is allowed. MRO uses C3 linearization (see C.__mro__ or C.mro()) to resolve the diamond problem consistently.</t>
  </si>
  <si>
    <t>Python allows real multiple inheritance; Java avoids ambiguity by design.</t>
  </si>
  <si>
    <t>final keyword</t>
  </si>
  <si>
    <t>What does the final keyword do in Java?</t>
  </si>
  <si>
    <t>final variable cannot be reassigned, final method cannot be overridden, final class cannot be extended. Blank finals are set once in constructors.</t>
  </si>
  <si>
    <t>NA (constants by convention)</t>
  </si>
  <si>
    <t>NA (use UPPER_CASE naming, typing.Final hints, or frozen dataclasses)</t>
  </si>
  <si>
    <t>Python has no enforced constants; it relies on convention.</t>
  </si>
  <si>
    <t>Object class (equals, hashCode, toString)</t>
  </si>
  <si>
    <t>What are the key methods of the Java Object class?</t>
  </si>
  <si>
    <t>equals, hashCode, toString, getClass, clone, finalize (deprecated), wait, notify, notifyAll. Override equals and hashCode together; override toString for readable output.</t>
  </si>
  <si>
    <t>Dunder methods (__str__, __eq__, __hash__)</t>
  </si>
  <si>
    <t>What are dunder (magic) methods in Python?</t>
  </si>
  <si>
    <t>__str__, __repr__, __eq__, __hash__, __len__, __getitem__, __iter__, __contains__, __enter__, __exit__, __call__ define how objects behave with built-in syntax.</t>
  </si>
  <si>
    <t>Java overrides a fixed set from Object; Python uses many protocol methods.</t>
  </si>
  <si>
    <t>Operator overloading</t>
  </si>
  <si>
    <t>What is operator overloading in Python?</t>
  </si>
  <si>
    <t>Define __add__, __sub__, __mul__, __eq__, __lt__, __getitem__ etc. so + - == &lt; [] work on your objects (e.g. Vector + Vector).</t>
  </si>
  <si>
    <t>Java does not allow user-defined operators (only + for String).</t>
  </si>
  <si>
    <t>Enums</t>
  </si>
  <si>
    <t>What are enums in Java?</t>
  </si>
  <si>
    <t>enum Day { MON, TUE } is a class with fixed instances; can have fields, constructors, methods and implement interfaces; values(), valueOf(), ordinal(); works in switch; thread-safe singletons.</t>
  </si>
  <si>
    <t>enum module</t>
  </si>
  <si>
    <t>What are enums in Python?</t>
  </si>
  <si>
    <t>enum.Enum (also IntEnum, Flag, auto()) defines named constants: class Color(Enum): RED = 1. Members have name and value; iterable; compared by identity.</t>
  </si>
  <si>
    <t>Both are class-based enums; Java enums are more integrated with switch.</t>
  </si>
  <si>
    <t>Records</t>
  </si>
  <si>
    <t>What are records in Java?</t>
  </si>
  <si>
    <t>record Point(int x, int y) {} (Java 16) generates constructor, accessors, equals, hashCode and toString; fields are final. Allows compact constructors for validation.</t>
  </si>
  <si>
    <t>dataclasses</t>
  </si>
  <si>
    <t>What are dataclasses in Python?</t>
  </si>
  <si>
    <t>@dataclass generates __init__, __repr__, __eq__ (and ordering if requested); options frozen=True, slots=True, default values and field(default_factory=...).</t>
  </si>
  <si>
    <t>Both remove boilerplate for data holders; records are always immutable, dataclasses optionally.</t>
  </si>
  <si>
    <t>Generics</t>
  </si>
  <si>
    <t>What are generics in Java?</t>
  </si>
  <si>
    <t>Type parameters for compile-time safety: List&lt;String&gt;, class Box&lt;T&gt;, bounded types (T extends Number), wildcards (? extends, ? super). Type erasure removes types at runtime; no generics with primitives.</t>
  </si>
  <si>
    <t>Type hints, typing module</t>
  </si>
  <si>
    <t>What are type hints and generics in Python?</t>
  </si>
  <si>
    <t>typing module: list[int], dict[str, int], Optional, Union, TypeVar, Generic, Protocol, Callable. Hints are ignored at runtime and checked by mypy or pyright.</t>
  </si>
  <si>
    <t>Java enforces generics at compile time; Python hints are optional documentation.</t>
  </si>
  <si>
    <t>Annotations</t>
  </si>
  <si>
    <t>What are annotations in Java?</t>
  </si>
  <si>
    <t>Metadata with @ (@Override, @Deprecated, @FunctionalInterface, custom). Retention (SOURCE, CLASS, RUNTIME) and Target control use; read via reflection by frameworks like Spring.</t>
  </si>
  <si>
    <t>Decorators</t>
  </si>
  <si>
    <t>What are decorators in Python?</t>
  </si>
  <si>
    <t>@decorator wraps a function or class to add behavior: logging, caching, auth, timing. Implemented as functions that return functions; use functools.wraps.</t>
  </si>
  <si>
    <t>Java annotations only describe code; Python decorators actually change behavior.</t>
  </si>
  <si>
    <t>Object composition, aggregation</t>
  </si>
  <si>
    <t>What are composition and aggregation in Java?</t>
  </si>
  <si>
    <t>Composition: an object owns its parts (Car has Engine, lifecycle tied). Aggregation: references parts that can exist independently (Team and Player). Prefer composition over inheritance.</t>
  </si>
  <si>
    <t>What are composition and aggregation in Python?</t>
  </si>
  <si>
    <t>Same ideas: store other objects as attributes in __init__. Duck typing makes swapping components easy.</t>
  </si>
  <si>
    <t>Concept is identical; Python is more flexible.</t>
  </si>
  <si>
    <t>Inner, nested, anonymous classes</t>
  </si>
  <si>
    <t>What are inner, nested and anonymous classes?</t>
  </si>
  <si>
    <t>Member inner class (has outer instance), static nested class, local class (inside a method) and anonymous class (unnamed, one-time implementation). Lambdas replace many anonymous classes.</t>
  </si>
  <si>
    <t>Nested classes</t>
  </si>
  <si>
    <t>How do nested classes work in Python?</t>
  </si>
  <si>
    <t>Classes can be defined inside classes or functions, but there is no special link to the outer instance. Closures and lambdas usually replace anonymous classes.</t>
  </si>
  <si>
    <t>Java inner classes can access outer instance members; Python nested classes cannot.</t>
  </si>
  <si>
    <t>Sealed classes</t>
  </si>
  <si>
    <t>What are sealed classes in Java?</t>
  </si>
  <si>
    <t>sealed class Shape permits Circle, Square (Java 17) restricts which classes may extend it; subclasses must be final, sealed or non-sealed. Works well with pattern matching in switch.</t>
  </si>
  <si>
    <t>NA (use Enum, Union types or convention)</t>
  </si>
  <si>
    <t>Python cannot restrict inheritance at language level.</t>
  </si>
  <si>
    <t>Interface default, static, private methods</t>
  </si>
  <si>
    <t>What are default, static and private methods in interfaces?</t>
  </si>
  <si>
    <t>Java 8 default methods give interface methods a body; static methods are utilities; Java 9 private methods share code between defaults. Supports interface evolution.</t>
  </si>
  <si>
    <t>NA (use mixins)</t>
  </si>
  <si>
    <t>NA (use mixin classes or ABCs with concrete methods)</t>
  </si>
  <si>
    <t>Python classes already carry behavior, so mixins fill this role.</t>
  </si>
  <si>
    <t>Immutable class design</t>
  </si>
  <si>
    <t>How do you design an immutable class in Java?</t>
  </si>
  <si>
    <t>final class, private final fields, no setters, defensive copies of mutable inputs and outputs, no this-escape. Examples: String, LocalDate; records simplify it.</t>
  </si>
  <si>
    <t>Frozen dataclass, __slots__</t>
  </si>
  <si>
    <t>How do you make immutable objects in Python?</t>
  </si>
  <si>
    <t>@dataclass(frozen=True), NamedTuple, tuple, or __slots__ with __setattr__ blocking; frozen objects are hashable.</t>
  </si>
  <si>
    <t>Both support immutability; Java enforces with final.</t>
  </si>
  <si>
    <t>JavaBeans, POJO</t>
  </si>
  <si>
    <t>What are JavaBeans and POJOs?</t>
  </si>
  <si>
    <t>POJO is a plain Java object with no framework dependency. JavaBean: no-arg constructor, private fields, getters/setters, Serializable. Used by frameworks and JSP.</t>
  </si>
  <si>
    <t>Plain classes, Pydantic models</t>
  </si>
  <si>
    <t>What are plain classes and Pydantic models in Python?</t>
  </si>
  <si>
    <t>Plain classes or dataclasses hold data. Pydantic BaseModel adds validation and parsing from type hints, used by FastAPI.</t>
  </si>
  <si>
    <t>Pydantic gives built-in validation; Java uses Bean Validation (Jakarta).</t>
  </si>
  <si>
    <t>Initializer blocks</t>
  </si>
  <si>
    <t>What are initializer blocks in Java?</t>
  </si>
  <si>
    <t>Instance initializer { } runs before the constructor body each time an object is created; static { } runs once at class loading. Order: static blocks, instance blocks, constructor.</t>
  </si>
  <si>
    <t>NA (class body statements run at class creation; __init__ for instances)</t>
  </si>
  <si>
    <t>Python class body code runs once at definition time.</t>
  </si>
  <si>
    <t>Descriptors</t>
  </si>
  <si>
    <t>What are descriptors in Python?</t>
  </si>
  <si>
    <t>Objects defining __get__, __set__ or __delete__ control attribute access on another class. property, classmethod, staticmethod and methods are implemented with descriptors.</t>
  </si>
  <si>
    <t>Java has no equivalent mechanism.</t>
  </si>
  <si>
    <t>Packages, import, classpath</t>
  </si>
  <si>
    <t>What are packages and imports in Java?</t>
  </si>
  <si>
    <t>package com.app.util; groups classes and maps to folders; import com.app.util.Tool; classpath tells the JVM where to find classes; java.lang is auto-imported; wildcard import with *.</t>
  </si>
  <si>
    <t>Modules, packages, import, __init__.py</t>
  </si>
  <si>
    <t>What are modules and packages in Python?</t>
  </si>
  <si>
    <t>A module is a .py file; a package is a folder with __init__.py (optional since 3.3). import pkg.mod, from pkg import mod, relative imports (from . import x), sys.path controls the search.</t>
  </si>
  <si>
    <t>Java maps packages strictly to folders; Python imports are runtime statements.</t>
  </si>
  <si>
    <t>Java Modules (JPMS)</t>
  </si>
  <si>
    <t>What is the Java Module System (JPMS)?</t>
  </si>
  <si>
    <t>module-info.java (Java 9) declares requires and exports to enforce strong encapsulation, reliable configuration and smaller runtimes (jlink).</t>
  </si>
  <si>
    <t>Python has no language-level module access control.</t>
  </si>
  <si>
    <t>try, catch, finally</t>
  </si>
  <si>
    <t>How does try/catch/finally work in Java?</t>
  </si>
  <si>
    <t>try { } catch (IOException e) { } finally { } runs cleanup always; multiple catch blocks (most specific first), multi-catch with a bar, rethrowing and chaining with cause.</t>
  </si>
  <si>
    <t>try, except, else, finally</t>
  </si>
  <si>
    <t>How does try/except work in Python?</t>
  </si>
  <si>
    <t>try, except (several types), else (runs when no error), finally (always). Catch specific exceptions; bare except is discouraged. Use raise to re-raise.</t>
  </si>
  <si>
    <t>Python adds the else clause.</t>
  </si>
  <si>
    <t>throw, throws</t>
  </si>
  <si>
    <t>What are throw and throws in Java?</t>
  </si>
  <si>
    <t>throw new IllegalArgumentException("bad") raises an exception; throws in a method signature declares checked exceptions it may pass to callers.</t>
  </si>
  <si>
    <t>raise</t>
  </si>
  <si>
    <t>What does raise do in Python?</t>
  </si>
  <si>
    <t>raise ValueError("bad") raises an exception; raise ... from e chains exceptions; bare raise re-raises the current one. No throws declaration.</t>
  </si>
  <si>
    <t>Python has no exception declarations in signatures.</t>
  </si>
  <si>
    <t>Checked vs unchecked exceptions</t>
  </si>
  <si>
    <t>What are checked and unchecked exceptions?</t>
  </si>
  <si>
    <t>Checked (extends Exception, e.g. IOException, SQLException) must be caught or declared. Unchecked (RuntimeException, Error) need not be. Debate: checked exceptions force handling but add clutter.</t>
  </si>
  <si>
    <t>NA (all Python exceptions are unchecked)</t>
  </si>
  <si>
    <t>Python never forces you to handle exceptions.</t>
  </si>
  <si>
    <t>Custom exceptions</t>
  </si>
  <si>
    <t>How do you create custom exceptions in Java?</t>
  </si>
  <si>
    <t>class MyEx extends Exception (checked) or RuntimeException (unchecked) with constructors for message and cause.</t>
  </si>
  <si>
    <t>How do you create custom exceptions in Python?</t>
  </si>
  <si>
    <t>class MyError(Exception): pass, optionally with extra fields and a custom __str__. Build a hierarchy from one base error class.</t>
  </si>
  <si>
    <t>Both are simple subclassing.</t>
  </si>
  <si>
    <t>try-with-resources</t>
  </si>
  <si>
    <t>What is try-with-resources?</t>
  </si>
  <si>
    <t>try (BufferedReader br = new BufferedReader(...)) { } auto-closes resources implementing AutoCloseable, even on exceptions; suppressed exceptions are kept.</t>
  </si>
  <si>
    <t>with statement, context managers</t>
  </si>
  <si>
    <t>What are the with statement and context managers?</t>
  </si>
  <si>
    <t>with open(f) as fh: closes automatically. Custom managers implement __enter__ and __exit__ or use contextlib.contextmanager; also used for locks, transactions, temp dirs.</t>
  </si>
  <si>
    <t>Same purpose; Python managers are used far more widely.</t>
  </si>
  <si>
    <t>assert (disabled by default, -ea to enable)</t>
  </si>
  <si>
    <t>What is assert in Java?</t>
  </si>
  <si>
    <t>assert cond : "message"; checks assumptions; disabled by default and enabled with the -ea flag. Do not use for input validation.</t>
  </si>
  <si>
    <t>assert statement</t>
  </si>
  <si>
    <t>What is assert in Python?</t>
  </si>
  <si>
    <t>assert cond, "message" raises AssertionError; skipped when Python runs with -O. Used in tests and sanity checks, not for user input validation.</t>
  </si>
  <si>
    <t>Both can be disabled; Java is off by default, Python is on by default.</t>
  </si>
  <si>
    <t>File, FileReader, FileWriter, streams</t>
  </si>
  <si>
    <t>How do you work with files in Java?</t>
  </si>
  <si>
    <t>File, FileReader/FileWriter, BufferedReader/BufferedWriter, FileInputStream/FileOutputStream, PrintWriter; always close (try-with-resources). Methods: exists, length, delete, mkdir, listFiles.</t>
  </si>
  <si>
    <t>open(), read/write modes</t>
  </si>
  <si>
    <t>How do you work with files in Python?</t>
  </si>
  <si>
    <t>open(path, mode, encoding="utf-8") with modes r, w, a, x, b, +; read(), readline(), readlines(), write(); iterate over a file line by line; with ensures closing.</t>
  </si>
  <si>
    <t>Python file handling is shorter, with one open() function.</t>
  </si>
  <si>
    <t>JSON (Jackson, Gson), XML (JAXB)</t>
  </si>
  <si>
    <t>How do you handle JSON and XML in Java?</t>
  </si>
  <si>
    <t>Libraries: Jackson (ObjectMapper), Gson, JSON-B; JAXB or DOM/SAX/StAX for XML. Maps JSON to classes (POJOs).</t>
  </si>
  <si>
    <t>json, csv, xml, yaml modules</t>
  </si>
  <si>
    <t>How do you handle JSON, CSV, XML and YAML in Python?</t>
  </si>
  <si>
    <t>Standard library: json (dumps, loads, dump, load), csv, xml.etree.ElementTree; PyYAML for YAML. JSON maps directly to dict and list.</t>
  </si>
  <si>
    <t>Python needs no external library for JSON and CSV.</t>
  </si>
  <si>
    <t>NIO, Files, Paths</t>
  </si>
  <si>
    <t>What are NIO, Files and Paths in Java?</t>
  </si>
  <si>
    <t>java.nio.file: Path.of(...), Files.readAllLines, Files.write, Files.walk, Files.copy, WatchService; channels and buffers for non-blocking I/O.</t>
  </si>
  <si>
    <t>pathlib, os, shutil</t>
  </si>
  <si>
    <t>What are pathlib, os and shutil in Python?</t>
  </si>
  <si>
    <t>pathlib.Path (path / "a.txt", exists, read_text, glob, mkdir); os (listdir, environ, getcwd); shutil (copy, move, rmtree, make_archive).</t>
  </si>
  <si>
    <t>Python splits file helpers across three modules.</t>
  </si>
  <si>
    <t>Serialization, Externalizable</t>
  </si>
  <si>
    <t>What is serialization in Java?</t>
  </si>
  <si>
    <t>Implement Serializable to convert objects to bytes via ObjectOutputStream; transient skips fields, serialVersionUID versions the class, Externalizable gives manual control. Deserializing untrusted data is dangerous.</t>
  </si>
  <si>
    <t>pickle, marshal</t>
  </si>
  <si>
    <t>What are pickle and marshal in Python?</t>
  </si>
  <si>
    <t>pickle serializes almost any object to bytes (dump, load); marshal is for internal bytecode. Never unpickle untrusted data; use json for interchange.</t>
  </si>
  <si>
    <t>Both have the same security risk.</t>
  </si>
  <si>
    <t>Properties files, ResourceBundle</t>
  </si>
  <si>
    <t>How are properties files and ResourceBundle used?</t>
  </si>
  <si>
    <t>Properties class loads key=value files (load, getProperty); ResourceBundle loads locale-specific property files; Spring uses application.properties or yml.</t>
  </si>
  <si>
    <t>configparser, .env, python-dotenv</t>
  </si>
  <si>
    <t>How do you manage configuration in Python?</t>
  </si>
  <si>
    <t>configparser (INI files), json/yaml/toml (tomllib), environment variables (os.environ), and .env files via python-dotenv.</t>
  </si>
  <si>
    <t>Python commonly uses environment variables and .env files.</t>
  </si>
  <si>
    <t>Internationalization (Locale, ResourceBundle)</t>
  </si>
  <si>
    <t>How does internationalization work in Java?</t>
  </si>
  <si>
    <t>Locale, ResourceBundle, NumberFormat, DateTimeFormatter and MessageFormat provide locale-based text, numbers and dates.</t>
  </si>
  <si>
    <t>locale, gettext</t>
  </si>
  <si>
    <t>How does internationalization work in Python?</t>
  </si>
  <si>
    <t>locale module for formats, gettext for translations, plus Babel for advanced needs.</t>
  </si>
  <si>
    <t>Both offer message catalogs; Java support is built deeper into formatting.</t>
  </si>
  <si>
    <t>Thread, Runnable, thread lifecycle</t>
  </si>
  <si>
    <t>How do threads work in Java?</t>
  </si>
  <si>
    <t>Extend Thread or implement Runnable; start() creates a new thread (run() does not). Lifecycle: NEW, RUNNABLE, BLOCKED, WAITING, TIMED_WAITING, TERMINATED. Methods: join, sleep, interrupt, setDaemon.</t>
  </si>
  <si>
    <t>threading module</t>
  </si>
  <si>
    <t>How do threads work in Python?</t>
  </si>
  <si>
    <t>threading.Thread(target=f).start(); join(), daemon threads. Because of the GIL, threads help I/O-bound tasks, not CPU-bound ones.</t>
  </si>
  <si>
    <t>Java threads run truly in parallel; Python threads are limited by the GIL.</t>
  </si>
  <si>
    <t>synchronized, locks, deadlock</t>
  </si>
  <si>
    <t>How do you synchronize threads in Java?</t>
  </si>
  <si>
    <t>synchronized methods and blocks (monitor locks), volatile, ReentrantLock, ReadWriteLock, StampedLock. Deadlock prevention: consistent lock order and tryLock with timeout.</t>
  </si>
  <si>
    <t>Lock, RLock, Semaphore</t>
  </si>
  <si>
    <t>How do you synchronize threads in Python?</t>
  </si>
  <si>
    <t>threading.Lock, RLock, Semaphore, Event, Condition, Barrier; use with lock: for safe acquisition and release.</t>
  </si>
  <si>
    <t>Java builds locking into the language (synchronized); Python uses lock objects.</t>
  </si>
  <si>
    <t>ExecutorService, thread pools, Callable, Future</t>
  </si>
  <si>
    <t>What are ExecutorService, Callable and Future?</t>
  </si>
  <si>
    <t>Executors create thread pools (fixed, cached, scheduled, work-stealing); submit(Callable) returns a Future; get() blocks, cancel(), invokeAll(); always shutdown().</t>
  </si>
  <si>
    <t>concurrent.futures (Thread/ProcessPoolExecutor)</t>
  </si>
  <si>
    <t>What is concurrent.futures?</t>
  </si>
  <si>
    <t>ThreadPoolExecutor and ProcessPoolExecutor with submit, map and as_completed; Future objects have result(), done(), cancel(). Use with-statement for cleanup.</t>
  </si>
  <si>
    <t>Almost identical design; Python can switch to processes by changing one class.</t>
  </si>
  <si>
    <t>CompletableFuture, virtual threads</t>
  </si>
  <si>
    <t>What are CompletableFuture and virtual threads?</t>
  </si>
  <si>
    <t>CompletableFuture chains async tasks (supplyAsync, thenApply, thenCombine, exceptionally, allOf). Virtual threads (Java 21) are lightweight threads for massive blocking I/O concurrency.</t>
  </si>
  <si>
    <t>asyncio, async/await, coroutines</t>
  </si>
  <si>
    <t>What are asyncio, async/await and coroutines?</t>
  </si>
  <si>
    <t>async def defines coroutines; await yields to the event loop; asyncio.run, gather, create_task, Semaphore; ideal for many I/O-bound tasks on one thread (aiohttp, httpx).</t>
  </si>
  <si>
    <t>Python async is cooperative and single-threaded; Java virtual threads are preemptive.</t>
  </si>
  <si>
    <t>GIL (Global Interpreter Lock)</t>
  </si>
  <si>
    <t>What is the GIL?</t>
  </si>
  <si>
    <t>Global Interpreter Lock in CPython lets only one thread run Python bytecode at a time, protecting memory management. CPU-bound threads do not speed up; use multiprocessing. An experimental free-threaded build exists in Python 3.13.</t>
  </si>
  <si>
    <t>Java has no GIL, so threads use multiple cores.</t>
  </si>
  <si>
    <t>Atomic classes</t>
  </si>
  <si>
    <t>What are atomic classes in Java?</t>
  </si>
  <si>
    <t>AtomicInteger, AtomicLong, AtomicReference use compare-and-swap for lock-free thread-safe updates; LongAdder for high contention.</t>
  </si>
  <si>
    <t>queue.Queue (thread-safe)</t>
  </si>
  <si>
    <t>What is queue.Queue (thread-safe) in Python?</t>
  </si>
  <si>
    <t>queue.Queue, LifoQueue and PriorityQueue are thread-safe with put and get, blocking and timeouts; the standard way to pass work between threads.</t>
  </si>
  <si>
    <t>Java offers atomic variables; Python offers thread-safe queues.</t>
  </si>
  <si>
    <t>Fork/Join framework</t>
  </si>
  <si>
    <t>What is the Fork/Join framework?</t>
  </si>
  <si>
    <t>ForkJoinPool with RecursiveTask and RecursiveAction splits work recursively and uses work stealing; parallel streams use the common pool.</t>
  </si>
  <si>
    <t>multiprocessing</t>
  </si>
  <si>
    <t>What is multiprocessing in Python?</t>
  </si>
  <si>
    <t>multiprocessing.Process, Pool, Queue, Pipe, shared memory run separate interpreter processes, bypassing the GIL for CPU-bound work at the cost of serialization and memory.</t>
  </si>
  <si>
    <t>Java divides work among threads; Python must use separate processes.</t>
  </si>
  <si>
    <t>volatile, wait/notify, daemon threads, ThreadLocal</t>
  </si>
  <si>
    <t>What are volatile, wait/notify, daemon threads and ThreadLocal?</t>
  </si>
  <si>
    <t>volatile gives visibility; wait/notify/notifyAll coordinate threads inside synchronized; daemon threads do not block JVM exit; ThreadLocal gives each thread its own value.</t>
  </si>
  <si>
    <t>Event, Condition, daemon threads, threading.local</t>
  </si>
  <si>
    <t>What are Event, Condition, daemon threads and threading.local?</t>
  </si>
  <si>
    <t>Event signals between threads; Condition does wait/notify; daemon threads end with the program; threading.local() stores per-thread data.</t>
  </si>
  <si>
    <t>Equivalent tools with different names.</t>
  </si>
  <si>
    <t>Java Memory Model (JMM)</t>
  </si>
  <si>
    <t>What is the Java Memory Model?</t>
  </si>
  <si>
    <t>Defines visibility and ordering across threads using happens-before rules (locks, volatile, thread start/join, final fields).</t>
  </si>
  <si>
    <t>Python's GIL hides most memory-ordering issues.</t>
  </si>
  <si>
    <t>JVM architecture (heap, stack, metaspace)</t>
  </si>
  <si>
    <t>How is JVM memory organized?</t>
  </si>
  <si>
    <t>Heap (young: Eden and survivors; old), thread stacks, Metaspace (class metadata), PC registers, native method stacks, code cache. Tuned with -Xms, -Xmx, -Xss.</t>
  </si>
  <si>
    <t>Memory management, private heap</t>
  </si>
  <si>
    <t>How does Python manage memory?</t>
  </si>
  <si>
    <t>A private heap managed by the interpreter; pymalloc handles small objects; reference counting frees objects immediately; every value is an object.</t>
  </si>
  <si>
    <t>Java exposes tuning knobs; Python hides most memory details.</t>
  </si>
  <si>
    <t>Garbage collection (G1, ZGC)</t>
  </si>
  <si>
    <t>How does garbage collection work in Java?</t>
  </si>
  <si>
    <t>Finds objects unreachable from GC roots and reclaims them. Generational: minor GC (young) and major GC (old). Collectors: Serial, Parallel, G1 (default), ZGC and Shenandoah (low pause).</t>
  </si>
  <si>
    <t>Reference counting + gc module</t>
  </si>
  <si>
    <t>How does garbage collection work in Python?</t>
  </si>
  <si>
    <t>Reference counting frees objects at count zero; the gc module's generational collector finds reference cycles; gc.collect() forces it; __del__ runs on destruction (unreliable).</t>
  </si>
  <si>
    <t>Python frees most objects instantly; Java collects in batches.</t>
  </si>
  <si>
    <t>Class loaders</t>
  </si>
  <si>
    <t>What are class loaders in Java?</t>
  </si>
  <si>
    <t>Bootstrap, Platform and Application class loaders load classes lazily using parent-first delegation; custom loaders are used in app servers, plugins and hot reload.</t>
  </si>
  <si>
    <t>NA (importlib and sys.modules control imports)</t>
  </si>
  <si>
    <t>Python modules are loaded by the import system, not class loaders.</t>
  </si>
  <si>
    <t>JIT compiler</t>
  </si>
  <si>
    <t>What is the JIT compiler?</t>
  </si>
  <si>
    <t>The JVM profiles running bytecode and compiles hot methods to optimized native code (C1 and C2 tiers), plus optimizations like inlining; warm-up time applies.</t>
  </si>
  <si>
    <t>NA (CPython interpreter; PyPy has JIT)</t>
  </si>
  <si>
    <t>NA (CPython is an interpreter; PyPy has a JIT; Python 3.13 added an experimental JIT)</t>
  </si>
  <si>
    <t>JIT makes Java much faster at steady state than CPython.</t>
  </si>
  <si>
    <t>Weak, soft, phantom references</t>
  </si>
  <si>
    <t>What are weak, soft and phantom references?</t>
  </si>
  <si>
    <t>Reference types in java.lang.ref: Strong (default), Soft (cleared under memory pressure, caches), Weak (cleared at next GC, WeakHashMap), Phantom (cleanup after finalization, with ReferenceQueue).</t>
  </si>
  <si>
    <t>weakref module</t>
  </si>
  <si>
    <t>What is the weakref module?</t>
  </si>
  <si>
    <t>weakref.ref, WeakValueDictionary, WeakSet and finalize hold references that do not keep objects alive; useful for caches and observers.</t>
  </si>
  <si>
    <t>Python offers weak references only; Java has four levels.</t>
  </si>
  <si>
    <t>JVM tuning, GC tuning, profiling (JConsole, VisualVM)</t>
  </si>
  <si>
    <t>How do you tune and profile the JVM?</t>
  </si>
  <si>
    <t>Set heap flags (-Xms, -Xmx), choose GC (-XX:+UseG1GC), read GC logs, monitor with JConsole, VisualVM, Java Flight Recorder, jstat, jmap and jstack; find leaks with heap dumps.</t>
  </si>
  <si>
    <t>Profiling (cProfile, timeit)</t>
  </si>
  <si>
    <t>How do you profile Python code?</t>
  </si>
  <si>
    <t>timeit for micro-benchmarks, cProfile and pstats for CPU, line_profiler, memory_profiler and tracemalloc for memory, py-spy for sampling.</t>
  </si>
  <si>
    <t>Both need measurement before tuning.</t>
  </si>
  <si>
    <t>Native image (GraalVM)</t>
  </si>
  <si>
    <t>What is GraalVM native image?</t>
  </si>
  <si>
    <t>Ahead-of-time compilation of Java into a standalone native binary with very fast startup and low memory, with limits on reflection and dynamic loading.</t>
  </si>
  <si>
    <t>NA (use PyInstaller, Nuitka or Cython for packaging or speed)</t>
  </si>
  <si>
    <t>Native compilation of Python is done by third-party tools.</t>
  </si>
  <si>
    <t>Optional</t>
  </si>
  <si>
    <t>What is Optional in Java?</t>
  </si>
  <si>
    <t>Container that may hold a value: Optional.of, ofNullable, empty; isPresent, orElse, orElseThrow, map, ifPresent. Avoid as fields or parameters.</t>
  </si>
  <si>
    <t>NA (use None checks)</t>
  </si>
  <si>
    <t>NA (use None checks, the or operator or typing.Optional hints)</t>
  </si>
  <si>
    <t>Python uses None directly instead of a wrapper.</t>
  </si>
  <si>
    <t>Pattern matching, switch patterns</t>
  </si>
  <si>
    <t>What is pattern matching in Java?</t>
  </si>
  <si>
    <t>instanceof patterns (Java 16), switch patterns and record patterns (Java 21): case Circle c -&gt; ... lets the type be checked and bound in one step.</t>
  </si>
  <si>
    <t>Structural pattern matching</t>
  </si>
  <si>
    <t>What is structural pattern matching in Python?</t>
  </si>
  <si>
    <t>match/case (3.10) destructures sequences, mappings and objects, with guards and capture variables.</t>
  </si>
  <si>
    <t>Python matching is structure-based; Java matching is type-based.</t>
  </si>
  <si>
    <t>java.time (LocalDate, ZonedDateTime)</t>
  </si>
  <si>
    <t>How do you work with dates and times in Java?</t>
  </si>
  <si>
    <t>java.time (Java 8): LocalDate, LocalTime, LocalDateTime, ZonedDateTime, Instant, Duration, Period, DateTimeFormatter. Immutable and thread-safe; replaces Date and Calendar.</t>
  </si>
  <si>
    <t>datetime, time, calendar</t>
  </si>
  <si>
    <t>How do you work with dates and times in Python?</t>
  </si>
  <si>
    <t>datetime (date, time, datetime, timedelta, timezone), time, calendar, zoneinfo; strftime and strptime for formatting and parsing; dateutil for extras.</t>
  </si>
  <si>
    <t>Both have solid modern APIs.</t>
  </si>
  <si>
    <t>java.util.regex (Pattern, Matcher)</t>
  </si>
  <si>
    <t>How does regex work in Java?</t>
  </si>
  <si>
    <t>java.util.regex Pattern.compile and Matcher (matches, find, group, replaceAll); String.matches, split and replaceAll also accept regex; double backslashes needed in strings.</t>
  </si>
  <si>
    <t>re module</t>
  </si>
  <si>
    <t>How does regex work in Python?</t>
  </si>
  <si>
    <t>re module: search, match, fullmatch, findall, finditer, sub, split, compile; groups, named groups, flags; raw strings (r"\d+") avoid escape trouble.</t>
  </si>
  <si>
    <t>Python raw strings make regex easier to write.</t>
  </si>
  <si>
    <t>java.util.logging, Log4j, SLF4J</t>
  </si>
  <si>
    <t>How does logging work in Java?</t>
  </si>
  <si>
    <t>java.util.logging, Log4j2 and Logback via the SLF4J facade; levels TRACE to ERROR, appenders, formatters, config files.</t>
  </si>
  <si>
    <t>logging module</t>
  </si>
  <si>
    <t>How does logging work in Python?</t>
  </si>
  <si>
    <t>logging module: getLogger(__name__), levels DEBUG to CRITICAL, handlers, formatters, basicConfig; prefer over print.</t>
  </si>
  <si>
    <t>Same concepts; Java adds facades like SLF4J.</t>
  </si>
  <si>
    <t>JDBC</t>
  </si>
  <si>
    <t>How do you connect to databases with JDBC?</t>
  </si>
  <si>
    <t>Steps: get Connection (DriverManager or DataSource), PreparedStatement, executeQuery or executeUpdate, iterate ResultSet, close with try-with-resources, handle transactions with commit and rollback.</t>
  </si>
  <si>
    <t>DB-API, sqlite3, mysql-connector, psycopg2</t>
  </si>
  <si>
    <t>How do you connect to databases in Python?</t>
  </si>
  <si>
    <t>DB-API 2.0: connect(), cursor(), execute(sql, params), fetchone/fetchall, commit(); drivers: sqlite3 (built in), psycopg2, mysql-connector, pyodbc. Use parameter placeholders.</t>
  </si>
  <si>
    <t>Same flow; Python includes sqlite3 in the standard library.</t>
  </si>
  <si>
    <t>Hibernate, JPA, Spring Data JPA</t>
  </si>
  <si>
    <t>What are Hibernate, JPA and Spring Data JPA?</t>
  </si>
  <si>
    <t>JPA is the ORM specification, Hibernate the implementation: @Entity, @Id, relationships, JPQL, lazy vs eager loading, caching. Spring Data JPA generates repositories from interfaces.</t>
  </si>
  <si>
    <t>SQLAlchemy, Django ORM</t>
  </si>
  <si>
    <t>What are SQLAlchemy and Django ORM?</t>
  </si>
  <si>
    <t>SQLAlchemy offers Core and ORM with sessions and declarative models; Django ORM is built into Django with models, QuerySets and migrations.</t>
  </si>
  <si>
    <t>Same ORM idea; Django ORM is tied to Django.</t>
  </si>
  <si>
    <t>Connection pooling (HikariCP)</t>
  </si>
  <si>
    <t>What is connection pooling in Java?</t>
  </si>
  <si>
    <t>Reuses open DB connections for speed: HikariCP (Spring Boot default), DBCP, c3p0; configure maximum pool size and timeouts.</t>
  </si>
  <si>
    <t>Connection pooling (SQLAlchemy pool)</t>
  </si>
  <si>
    <t>What is connection pooling in Python?</t>
  </si>
  <si>
    <t>SQLAlchemy's engine pool (pool_size, max_overflow), Django persistent connections, or pgbouncer outside the app.</t>
  </si>
  <si>
    <t>Pooling is built into SQLAlchemy.</t>
  </si>
  <si>
    <t>NoSQL clients (MongoDB, Redis, Cassandra)</t>
  </si>
  <si>
    <t>How do you use NoSQL databases from Java?</t>
  </si>
  <si>
    <t>Drivers and Spring Data modules for MongoDB, Redis (Jedis or Lettuce), Cassandra, Elasticsearch, Neo4j.</t>
  </si>
  <si>
    <t>pymongo, redis-py</t>
  </si>
  <si>
    <t>How do you use NoSQL databases from Python?</t>
  </si>
  <si>
    <t>pymongo or motor (MongoDB), redis-py (Redis), cassandra-driver, elasticsearch client.</t>
  </si>
  <si>
    <t>Equivalent driver ecosystems.</t>
  </si>
  <si>
    <t>Socket, ServerSocket, URL, HttpClient</t>
  </si>
  <si>
    <t>How does networking work in Java?</t>
  </si>
  <si>
    <t>Socket and ServerSocket for TCP, DatagramSocket for UDP, URL and HttpURLConnection, java.net.http.HttpClient (Java 11, sync and async, HTTP/2), plus NIO channels and Netty for high performance.</t>
  </si>
  <si>
    <t>socket, urllib, requests, http.client</t>
  </si>
  <si>
    <t>How does networking work in Python?</t>
  </si>
  <si>
    <t>socket for low level TCP/UDP, urllib.request, http.client, the popular requests library, and asyncio streams, aiohttp or httpx for async.</t>
  </si>
  <si>
    <t>Python's requests makes HTTP calls much shorter.</t>
  </si>
  <si>
    <t>WebSocket, JMS, Kafka, RabbitMQ</t>
  </si>
  <si>
    <t>What are WebSocket, JMS, Kafka and RabbitMQ in Java?</t>
  </si>
  <si>
    <t>WebSocket gives two-way real-time connections (Spring WebSocket); JMS is the messaging API (ActiveMQ); Kafka and RabbitMQ clients support event streaming and queues.</t>
  </si>
  <si>
    <t>WebSockets, Kafka, RabbitMQ clients</t>
  </si>
  <si>
    <t>What are WebSockets and messaging clients in Python?</t>
  </si>
  <si>
    <t>websockets, FastAPI/Starlette WebSockets, kafka-python or confluent-kafka, pika (RabbitMQ), Celery for task queues.</t>
  </si>
  <si>
    <t>Same technologies, different client libraries.</t>
  </si>
  <si>
    <t>RMI</t>
  </si>
  <si>
    <t>What is RMI in Java?</t>
  </si>
  <si>
    <t>Remote Method Invocation lets a JVM call methods on objects in another JVM through stubs; mostly legacy, replaced by REST and gRPC.</t>
  </si>
  <si>
    <t>NA (use XML-RPC, gRPC, REST or Pyro)</t>
  </si>
  <si>
    <t>Python has no built-in RMI.</t>
  </si>
  <si>
    <t>JavaMail, JNDI</t>
  </si>
  <si>
    <t>What are JavaMail and JNDI?</t>
  </si>
  <si>
    <t>JavaMail (Jakarta Mail) sends and reads email over SMTP, IMAP and POP3; JNDI looks up resources by name (data sources, EJBs) in enterprise servers.</t>
  </si>
  <si>
    <t>smtplib, email</t>
  </si>
  <si>
    <t>How do you send emails in Python?</t>
  </si>
  <si>
    <t>smtplib with email.message.EmailMessage sends mail; imaplib reads it; libraries like yagmail simplify it.</t>
  </si>
  <si>
    <t>Python needs only the standard library for email.</t>
  </si>
  <si>
    <t>Servlets, JSP</t>
  </si>
  <si>
    <t>What are Servlets and JSP?</t>
  </si>
  <si>
    <t>Servlets are Java classes handling HTTP (doGet, doPost) inside a container like Tomcat, with lifecycle init, service, destroy; JSP mixes HTML with Java; both underlie Spring MVC.</t>
  </si>
  <si>
    <t>NA (WSGI and ASGI define the Python web server interface)</t>
  </si>
  <si>
    <t>Python frameworks sit on WSGI/ASGI instead of servlets.</t>
  </si>
  <si>
    <t>Spring Core (IoC, DI, Beans, AOP)</t>
  </si>
  <si>
    <t>What are Spring Core, IoC, DI, beans and AOP?</t>
  </si>
  <si>
    <t>IoC container creates and wires beans; DI via constructor, setter or field; scopes (singleton, prototype, request, session); lifecycle callbacks; @Component, @Service, @Autowired, @Configuration, @Bean; AOP adds cross-cutting concerns (logging, transactions).</t>
  </si>
  <si>
    <t>NA (FastAPI dependency injection)</t>
  </si>
  <si>
    <t>NA (FastAPI Depends() provides dependency injection; decorators handle cross-cutting logic)</t>
  </si>
  <si>
    <t>Python uses lighter patterns instead of a heavy IoC container.</t>
  </si>
  <si>
    <t>Spring MVC, Spring Boot</t>
  </si>
  <si>
    <t>What are Spring MVC and Spring Boot?</t>
  </si>
  <si>
    <t>Spring MVC: DispatcherServlet, controllers, models and views. Spring Boot adds starters, auto-configuration, embedded Tomcat, application.properties and Actuator for quick production-ready apps.</t>
  </si>
  <si>
    <t>Django, Flask, FastAPI</t>
  </si>
  <si>
    <t>What are Django, Flask and FastAPI?</t>
  </si>
  <si>
    <t>Django: full-featured (ORM, admin, auth, templates). Flask: minimal micro-framework with extensions. FastAPI: async, type-hint-driven, automatic validation and OpenAPI docs.</t>
  </si>
  <si>
    <t>Spring Boot is the enterprise standard; FastAPI and Django lead Python.</t>
  </si>
  <si>
    <t>REST APIs (Spring REST, JAX-RS)</t>
  </si>
  <si>
    <t>How do you build REST APIs in Java?</t>
  </si>
  <si>
    <t>Spring REST: @RestController, @GetMapping/@PostMapping, @RequestBody, @PathVariable, ResponseEntity, validation, exception handlers (@ControllerAdvice); JAX-RS (Jersey) as alternative. Follow REST rules and HTTP codes.</t>
  </si>
  <si>
    <t>REST APIs (DRF, FastAPI)</t>
  </si>
  <si>
    <t>How do you build REST APIs in Python?</t>
  </si>
  <si>
    <t>Django REST Framework (serializers, viewsets, routers), FastAPI (path operations, Pydantic models), or Flask with extensions; JSON in and out.</t>
  </si>
  <si>
    <t>FastAPI needs far less code and gives docs automatically.</t>
  </si>
  <si>
    <t>Spring Security, JWT</t>
  </si>
  <si>
    <t>How is security handled in Java web apps?</t>
  </si>
  <si>
    <t>Spring Security: authentication and authorization, password encoding (BCrypt), JWT, OAuth2, method security, CSRF, CORS.</t>
  </si>
  <si>
    <t>Django auth, Flask-Login, JWT</t>
  </si>
  <si>
    <t>How is security handled in Python web apps?</t>
  </si>
  <si>
    <t>Django's built-in auth, sessions, CSRF protection and permissions; Flask-Login; JWT via PyJWT or FastAPI security utilities; OAuth2 libraries.</t>
  </si>
  <si>
    <t>Django ships batteries; Spring needs configuration.</t>
  </si>
  <si>
    <t>Microservices (Spring Cloud)</t>
  </si>
  <si>
    <t>How do you build microservices in Java?</t>
  </si>
  <si>
    <t>Spring Boot services with Spring Cloud: Eureka discovery, Config Server, API Gateway, OpenFeign, Resilience4j circuit breakers, distributed tracing.</t>
  </si>
  <si>
    <t>Microservices (FastAPI/Flask)</t>
  </si>
  <si>
    <t>How do you build microservices in Python?</t>
  </si>
  <si>
    <t>Small FastAPI or Flask services with Docker and Kubernetes, message brokers, gRPC or REST, OpenTelemetry tracing.</t>
  </si>
  <si>
    <t>Both rely on containers; Spring Cloud packages more patterns.</t>
  </si>
  <si>
    <t>Swagger/OpenAPI</t>
  </si>
  <si>
    <t>What is Swagger/OpenAPI in Java?</t>
  </si>
  <si>
    <t>springdoc-openapi or Springfox generates API docs and a UI from controller annotations.</t>
  </si>
  <si>
    <t>Swagger/OpenAPI (built into FastAPI)</t>
  </si>
  <si>
    <t>What is Swagger/OpenAPI in Python?</t>
  </si>
  <si>
    <t>FastAPI generates OpenAPI JSON and interactive docs at /docs and /redoc automatically; DRF uses drf-spectacular.</t>
  </si>
  <si>
    <t>FastAPI includes it by default.</t>
  </si>
  <si>
    <t>Thymeleaf, JSF</t>
  </si>
  <si>
    <t>What are Thymeleaf and JSF?</t>
  </si>
  <si>
    <t>Server-side template engines: Thymeleaf (HTML-first, Spring) and JSF (component-based), plus JSP.</t>
  </si>
  <si>
    <t>Jinja2, Django templates</t>
  </si>
  <si>
    <t>What are Jinja2 and Django templates?</t>
  </si>
  <si>
    <t>Template engines with variables, loops, inheritance and filters; Jinja2 is used by Flask and FastAPI.</t>
  </si>
  <si>
    <t>Similar server-side rendering concepts.</t>
  </si>
  <si>
    <t>GraphQL (Spring GraphQL)</t>
  </si>
  <si>
    <t>How do you use GraphQL in Java?</t>
  </si>
  <si>
    <t>Spring for GraphQL, graphql-java, schema-first with resolvers.</t>
  </si>
  <si>
    <t>GraphQL (Graphene, Strawberry)</t>
  </si>
  <si>
    <t>How do you use GraphQL in Python?</t>
  </si>
  <si>
    <t>Graphene, Strawberry, Ariadne; works with Django and FastAPI.</t>
  </si>
  <si>
    <t>Same concept, different libraries.</t>
  </si>
  <si>
    <t>Spring Boot Actuator, Spring Batch</t>
  </si>
  <si>
    <t>What are Spring Boot Actuator and Spring Batch?</t>
  </si>
  <si>
    <t>Actuator exposes health, metrics and info endpoints; Spring Batch runs chunk-based large jobs with retries and restart.</t>
  </si>
  <si>
    <t>Celery, Airflow</t>
  </si>
  <si>
    <t>What are Celery and Airflow?</t>
  </si>
  <si>
    <t>Celery runs background and scheduled tasks via a broker; Apache Airflow orchestrates workflow DAGs.</t>
  </si>
  <si>
    <t>Different tools for the same job-processing needs.</t>
  </si>
  <si>
    <t>Lombok</t>
  </si>
  <si>
    <t>What is Lombok?</t>
  </si>
  <si>
    <t>Annotation processor that generates boilerplate (@Getter, @Setter, @Builder, @Data, @Slf4j) at compile time.</t>
  </si>
  <si>
    <t>NA (dataclasses, Pydantic)</t>
  </si>
  <si>
    <t>NA (dataclasses and Pydantic remove the boilerplate)</t>
  </si>
  <si>
    <t>Python needs no code generator for boilerplate.</t>
  </si>
  <si>
    <t>Swing, AWT, JavaFX</t>
  </si>
  <si>
    <t>How do you build GUIs in Java?</t>
  </si>
  <si>
    <t>AWT and Swing (legacy), JavaFX (modern, FXML, CSS styling), SWT; event listeners and layout managers.</t>
  </si>
  <si>
    <t>Tkinter, PyQt, Kivy</t>
  </si>
  <si>
    <t>How do you build GUIs in Python?</t>
  </si>
  <si>
    <t>Tkinter (built in), PyQt or PySide, Kivy, wxPython; event loop with callbacks.</t>
  </si>
  <si>
    <t>Python Tkinter is quick for small tools.</t>
  </si>
  <si>
    <t>Android development</t>
  </si>
  <si>
    <t>How do you build mobile apps with Java?</t>
  </si>
  <si>
    <t>Android development with Android SDK (Java or Kotlin; Kotlin is now preferred): activities, layouts, intents, Gradle builds.</t>
  </si>
  <si>
    <t>Kivy, BeeWare (limited)</t>
  </si>
  <si>
    <t>How do you build mobile apps with Python?</t>
  </si>
  <si>
    <t>Limited: Kivy and BeeWare create apps; most mobile work uses native tools.</t>
  </si>
  <si>
    <t>Java and Kotlin dominate Android; Python is a minor option.</t>
  </si>
  <si>
    <t>NumPy</t>
  </si>
  <si>
    <t>What is NumPy?</t>
  </si>
  <si>
    <t>N-dimensional arrays (ndarray) with vectorized math, broadcasting, indexing, slicing, linear algebra, random numbers; the base of the scientific stack.</t>
  </si>
  <si>
    <t>Java has no standard equivalent (ND4J is a library).</t>
  </si>
  <si>
    <t>Pandas</t>
  </si>
  <si>
    <t>What is Pandas?</t>
  </si>
  <si>
    <t>Series and DataFrame for tabular data: read_csv, head, describe, loc/iloc, filtering, groupby, merge, pivot, missing-value handling, time series.</t>
  </si>
  <si>
    <t>Java uses streams, Tablesaw or Spark instead.</t>
  </si>
  <si>
    <t>Jupyter Notebook, data cleaning, EDA</t>
  </si>
  <si>
    <t>What are Jupyter Notebook, data cleaning and EDA?</t>
  </si>
  <si>
    <t>Notebooks mix code, output and text; cleaning handles nulls, duplicates and types; exploratory data analysis uses summaries and plots to understand data.</t>
  </si>
  <si>
    <t>Not a Java workflow.</t>
  </si>
  <si>
    <t>Matplotlib, Seaborn</t>
  </si>
  <si>
    <t>What are Matplotlib and Seaborn?</t>
  </si>
  <si>
    <t>Matplotlib draws line, bar, scatter, histogram and subplot charts; Seaborn builds statistical plots (heatmap, boxplot, pairplot) on top of it.</t>
  </si>
  <si>
    <t>Java has JFreeChart or XChart, used less often.</t>
  </si>
  <si>
    <t>Scikit-learn</t>
  </si>
  <si>
    <t>What is Scikit-learn?</t>
  </si>
  <si>
    <t>Classic machine learning: preprocessing, train/test split, regression, classification, clustering, pipelines, metrics, cross-validation, model selection.</t>
  </si>
  <si>
    <t>Java options: Weka, Smile.</t>
  </si>
  <si>
    <t>SciPy, Polars, Plotly</t>
  </si>
  <si>
    <t>What are SciPy, Polars and Plotly?</t>
  </si>
  <si>
    <t>SciPy: scientific algorithms (optimization, stats, signal). Polars: fast DataFrame library. Plotly: interactive charts.</t>
  </si>
  <si>
    <t>No standard Java equivalents.</t>
  </si>
  <si>
    <t>TensorFlow, PyTorch, Keras</t>
  </si>
  <si>
    <t>What are TensorFlow, PyTorch and Keras?</t>
  </si>
  <si>
    <t>Deep learning frameworks: tensors, autograd, neural network layers, training loops, GPU support; Keras is the high-level API.</t>
  </si>
  <si>
    <t>Java has DJL but Python leads deep learning.</t>
  </si>
  <si>
    <t>Generative AI, LLM APIs, LangChain, Hugging Face</t>
  </si>
  <si>
    <t>What are generative AI, LLM APIs, LangChain and Hugging Face?</t>
  </si>
  <si>
    <t>Call LLM APIs (including Anthropic and OpenAI SDKs), build prompts, RAG, agents and chains with LangChain or similar, and load open models with Hugging Face Transformers.</t>
  </si>
  <si>
    <t>Java has SDKs and Spring AI, but Python is the main language.</t>
  </si>
  <si>
    <t>NLP (NLTK, spaCy), OpenCV</t>
  </si>
  <si>
    <t>What are NLP libraries and OpenCV?</t>
  </si>
  <si>
    <t>NLTK and spaCy for tokenizing, tagging and entities; OpenCV for image and video processing.</t>
  </si>
  <si>
    <t>Java has Stanford CoreNLP and OpenCV bindings.</t>
  </si>
  <si>
    <t>Deep Java Library (DJL), Weka</t>
  </si>
  <si>
    <t>What are DJL and Weka?</t>
  </si>
  <si>
    <t>Deep Java Library runs deep learning from Java; Weka is a GUI and library for classic machine learning.</t>
  </si>
  <si>
    <t>Python uses scikit-learn and PyTorch for these jobs.</t>
  </si>
  <si>
    <t>Hadoop, Kafka clients</t>
  </si>
  <si>
    <t>What are Hadoop and Kafka clients in Java?</t>
  </si>
  <si>
    <t>Hadoop (HDFS and MapReduce) and Spark are JVM-native; Kafka clients and Kafka Streams for streaming.</t>
  </si>
  <si>
    <t>PySpark</t>
  </si>
  <si>
    <t>What is PySpark?</t>
  </si>
  <si>
    <t>Python API for Apache Spark: DataFrames, SQL and MLlib over clusters.</t>
  </si>
  <si>
    <t>Spark runs on the JVM; PySpark is a Python wrapper.</t>
  </si>
  <si>
    <t>Task automation (os, subprocess, schedule)</t>
  </si>
  <si>
    <t>How do you automate tasks in Python?</t>
  </si>
  <si>
    <t>os and pathlib for files, subprocess to run commands, shutil for copying, schedule or cron for timing, argparse for CLI tools; simple scripts replace manual work.</t>
  </si>
  <si>
    <t>Java can do it but needs more code.</t>
  </si>
  <si>
    <t>Excel (openpyxl), PDF, email automation</t>
  </si>
  <si>
    <t>How do you automate Excel, PDF and email in Python?</t>
  </si>
  <si>
    <t>openpyxl or pandas for Excel; PyPDF or reportlab for PDF; smtplib and email for mail; pyautogui for desktop actions.</t>
  </si>
  <si>
    <t>Java uses Apache POI for Excel.</t>
  </si>
  <si>
    <t>Web scraping (BeautifulSoup, Scrapy)</t>
  </si>
  <si>
    <t>How does web scraping work in Python?</t>
  </si>
  <si>
    <t>requests plus BeautifulSoup parse HTML; Scrapy crawls at scale; Selenium or Playwright handle JavaScript pages. Respect robots.txt and terms of service.</t>
  </si>
  <si>
    <t>Java uses Jsoup.</t>
  </si>
  <si>
    <t>Selenium with Java</t>
  </si>
  <si>
    <t>How do you automate browsers with Selenium in Java?</t>
  </si>
  <si>
    <t>WebDriver, locators (id, name, CSS, XPath), explicit waits (WebDriverWait), Page Object Model, TestNG or JUnit integration, Selenium Grid.</t>
  </si>
  <si>
    <t>Selenium with Python, Playwright</t>
  </si>
  <si>
    <t>How do you automate browsers with Selenium or Playwright in Python?</t>
  </si>
  <si>
    <t>Same Selenium API in Python; Playwright offers auto-waiting, tracing and fast modern browser control.</t>
  </si>
  <si>
    <t>Python scripts are shorter; Java is common in enterprise QA.</t>
  </si>
  <si>
    <t>Selenium, RestAssured, Cucumber (BDD)</t>
  </si>
  <si>
    <t>What are RestAssured and Cucumber (BDD)?</t>
  </si>
  <si>
    <t>RestAssured tests REST APIs with a given/when/then DSL; Cucumber runs Gherkin feature files with step definitions.</t>
  </si>
  <si>
    <t>Behave, Robot Framework, pytest-bdd</t>
  </si>
  <si>
    <t>What are Behave, Robot Framework and pytest-bdd?</t>
  </si>
  <si>
    <t>Behave and pytest-bdd run Gherkin scenarios; Robot Framework is keyword-driven; requests plus pytest test APIs.</t>
  </si>
  <si>
    <t>Same BDD ideas.</t>
  </si>
  <si>
    <t>Jenkins pipelines</t>
  </si>
  <si>
    <t>How are Jenkins pipelines used in Java projects?</t>
  </si>
  <si>
    <t>Jenkinsfile (declarative or scripted) builds with Maven or Gradle, runs tests, packages and deploys.</t>
  </si>
  <si>
    <t>Jenkins pipelines, shell scripting</t>
  </si>
  <si>
    <t>How are Jenkins pipelines and shell scripts used with Python?</t>
  </si>
  <si>
    <t>Pipelines run pip install, pytest and packaging; Bash scripts glue steps together.</t>
  </si>
  <si>
    <t>Same CI concept.</t>
  </si>
  <si>
    <t>JUnit, TestNG</t>
  </si>
  <si>
    <t>How do you write unit tests in Java?</t>
  </si>
  <si>
    <t>JUnit 5 (@Test, @BeforeEach, assertions, parameterized tests) and TestNG; run via Maven or Gradle.</t>
  </si>
  <si>
    <t>unittest, pytest</t>
  </si>
  <si>
    <t>How do you write unit tests in Python?</t>
  </si>
  <si>
    <t>unittest (built in, class-based) and pytest (plain functions, fixtures, parametrize, rich plugins).</t>
  </si>
  <si>
    <t>pytest is simpler and widely preferred.</t>
  </si>
  <si>
    <t>Mockito</t>
  </si>
  <si>
    <t>What is Mockito?</t>
  </si>
  <si>
    <t>Creates mock and spy objects: when(...).thenReturn, verify, ArgumentCaptor, @Mock and @InjectMocks.</t>
  </si>
  <si>
    <t>unittest.mock</t>
  </si>
  <si>
    <t>What is unittest.mock?</t>
  </si>
  <si>
    <t>Mock, MagicMock and patch replace dependencies in tests; pytest-mock wraps it.</t>
  </si>
  <si>
    <t>Same mocking concepts.</t>
  </si>
  <si>
    <t>Test coverage (JaCoCo)</t>
  </si>
  <si>
    <t>How do you measure test coverage in Java?</t>
  </si>
  <si>
    <t>JaCoCo reports line and branch coverage through Maven or Gradle plugins.</t>
  </si>
  <si>
    <t>Test coverage (coverage.py, pytest-cov)</t>
  </si>
  <si>
    <t>How do you measure test coverage in Python?</t>
  </si>
  <si>
    <t>coverage.py or pytest-cov generates terminal, HTML or XML reports.</t>
  </si>
  <si>
    <t>Same purpose, different tools.</t>
  </si>
  <si>
    <t>Code quality (SonarQube, Checkstyle)</t>
  </si>
  <si>
    <t>How do you check code quality in Java?</t>
  </si>
  <si>
    <t>SonarQube, Checkstyle, PMD, SpotBugs, formatters like google-java-format.</t>
  </si>
  <si>
    <t>Code quality (pylint, flake8, black)</t>
  </si>
  <si>
    <t>How do you check code quality in Python?</t>
  </si>
  <si>
    <t>pylint, flake8, ruff (fast linter), black (formatter), isort, mypy.</t>
  </si>
  <si>
    <t>Python commonly uses ruff and black.</t>
  </si>
  <si>
    <t>Maven, Gradle, Ant</t>
  </si>
  <si>
    <t>What are Maven, Gradle and Ant?</t>
  </si>
  <si>
    <t>Build tools: Maven (pom.xml, lifecycle, dependency management, central repository), Gradle (Groovy/Kotlin DSL, incremental builds), Ant (legacy, script-based).</t>
  </si>
  <si>
    <t>pip, venv, poetry, conda</t>
  </si>
  <si>
    <t>What are pip, venv, poetry and conda?</t>
  </si>
  <si>
    <t>pip installs packages; venv isolates environments; requirements.txt or pyproject.toml pin versions; poetry and uv manage dependencies; conda handles environments and non-Python libraries.</t>
  </si>
  <si>
    <t>Maven also builds and packages; Python splits these tasks across tools.</t>
  </si>
  <si>
    <t>JAR, WAR packaging</t>
  </si>
  <si>
    <t>How do you package Java apps (JAR and WAR)?</t>
  </si>
  <si>
    <t>JAR packages classes and resources (executable with Main-Class); WAR packages web apps for servlet containers; Spring Boot builds a fat JAR with embedded server.</t>
  </si>
  <si>
    <t>wheel, setuptools, PyPI packaging</t>
  </si>
  <si>
    <t>How do you package Python apps (wheel, setuptools, PyPI)?</t>
  </si>
  <si>
    <t>pyproject.toml with setuptools or poetry; build wheel and sdist; upload with twine to PyPI.</t>
  </si>
  <si>
    <t>Both produce distributable archives.</t>
  </si>
  <si>
    <t>Packaging executables (PyInstaller)</t>
  </si>
  <si>
    <t>How do you build executables from Python (PyInstaller)?</t>
  </si>
  <si>
    <t>PyInstaller, cx_Freeze or Nuitka bundle the interpreter and code into one executable.</t>
  </si>
  <si>
    <t>Java uses jpackage or GraalVM native image.</t>
  </si>
  <si>
    <t>Git, GitHub, CI/CD</t>
  </si>
  <si>
    <t>What are Git, GitHub and CI/CD for Java?</t>
  </si>
  <si>
    <t>Git tracks source history (commit, branch, merge, rebase); GitHub hosts repos and pull requests; CI/CD (GitHub Actions, Jenkins) builds and tests automatically.</t>
  </si>
  <si>
    <t>What are Git, GitHub and CI/CD for Python?</t>
  </si>
  <si>
    <t>The same Git workflows; CI runs pytest, linting and builds wheels.</t>
  </si>
  <si>
    <t>Language-independent.</t>
  </si>
  <si>
    <t>Docker and Kubernetes deployment</t>
  </si>
  <si>
    <t>How are Docker and Kubernetes used with Java?</t>
  </si>
  <si>
    <t>Dockerfile packages the JAR with a JRE; Kubernetes deploys and scales containers; tune JVM memory for containers.</t>
  </si>
  <si>
    <t>How are Docker and Kubernetes used with Python?</t>
  </si>
  <si>
    <t>Dockerfile with slim Python images, requirements install, Gunicorn or Uvicorn servers; Kubernetes for scaling.</t>
  </si>
  <si>
    <t>Same tooling; Python images are usually smaller.</t>
  </si>
  <si>
    <t>Design patterns (Singleton, Factory, Builder)</t>
  </si>
  <si>
    <t>What design patterns are used in Java?</t>
  </si>
  <si>
    <t>Creational (Singleton, Factory, Builder), structural (Adapter, Decorator, Proxy, Facade), behavioral (Observer, Strategy, Template Method, Iterator); Spring uses many.</t>
  </si>
  <si>
    <t>Design patterns (Singleton, Factory)</t>
  </si>
  <si>
    <t>What design patterns are used in Python?</t>
  </si>
  <si>
    <t>Same patterns, often simplified by modules, first-class functions and decorators (module as singleton, functions as strategies).</t>
  </si>
  <si>
    <t>Python needs less ceremony for many patterns.</t>
  </si>
  <si>
    <t>SOLID principles</t>
  </si>
  <si>
    <t>What are SOLID principles?</t>
  </si>
  <si>
    <t>Single responsibility, Open/closed, Liskov substitution, Interface segregation, Dependency inversion; guide maintainable object-oriented design.</t>
  </si>
  <si>
    <t>Same principles, applied with ABCs, protocols and duck typing.</t>
  </si>
  <si>
    <t>Concepts are language-independent.</t>
  </si>
  <si>
    <t>Static type checking (compiler built in)</t>
  </si>
  <si>
    <t>How does static type checking work in Java?</t>
  </si>
  <si>
    <t>The compiler enforces types, generics and null checks (with annotations or tools) before running.</t>
  </si>
  <si>
    <t>Static type checking (mypy, pyright)</t>
  </si>
  <si>
    <t>How does static type checking work in Python?</t>
  </si>
  <si>
    <t>Optional: mypy, pyright and pyre check type hints; Pydantic validates at runtime.</t>
  </si>
  <si>
    <t>Java is always typed; Python typing is opt-in.</t>
  </si>
  <si>
    <t>Security (Cryptography, JCA)</t>
  </si>
  <si>
    <t>How is cryptography and security handled in Java?</t>
  </si>
  <si>
    <t>JCA/JCE providers: MessageDigest, Cipher, KeyStore, SecureRandom, TLS (JSSE); avoid deserialization risks and hard-coded secrets.</t>
  </si>
  <si>
    <t>Security (hashlib, cryptography, secrets)</t>
  </si>
  <si>
    <t>How is cryptography and security handled in Python?</t>
  </si>
  <si>
    <t>hashlib, hmac, secrets, ssl, the cryptography package, bcrypt or argon2 for passwords; never roll your own crypto.</t>
  </si>
  <si>
    <t>Same rules; both need vetted libraries.</t>
  </si>
  <si>
    <t>Reflection API</t>
  </si>
  <si>
    <t>What is the Reflection API?</t>
  </si>
  <si>
    <t>java.lang.reflect: Class.forName, getDeclaredMethods, Field.setAccessible, Method.invoke; used by frameworks (Spring, Hibernate, JUnit); slower and weakens encapsulation.</t>
  </si>
  <si>
    <t>Introspection (inspect, getattr, hasattr)</t>
  </si>
  <si>
    <t>What is introspection in Python?</t>
  </si>
  <si>
    <t>type, dir, vars, getattr, setattr, hasattr, callable, inspect module; objects can be examined and modified easily at runtime.</t>
  </si>
  <si>
    <t>Python reflection is built in and simple.</t>
  </si>
  <si>
    <t>Metaclasses, metaprogramming</t>
  </si>
  <si>
    <t>What are metaclasses and metaprogramming?</t>
  </si>
  <si>
    <t>A metaclass is the class of a class (type by default) and controls class creation; also __init_subclass__, class decorators and dynamic class creation with type().</t>
  </si>
  <si>
    <t>Java uses annotation processors, bytecode libraries and reflection instead.</t>
  </si>
  <si>
    <t>JNI (native code)</t>
  </si>
  <si>
    <t>What is JNI?</t>
  </si>
  <si>
    <t>Java Native Interface calls C or C++ code from Java and back; newer Foreign Function and Memory API (Java 22) modernizes it.</t>
  </si>
  <si>
    <t>ctypes, C extensions, Cython</t>
  </si>
  <si>
    <t>How do you call C code from Python (ctypes, Cython)?</t>
  </si>
  <si>
    <t>ctypes and cffi load shared libraries; C extensions and Cython compile fast native modules; pybind11 for C++.</t>
  </si>
  <si>
    <t>Python bridges to C more easily.</t>
  </si>
  <si>
    <t>Java agents, bytecode manipulation (ASM)</t>
  </si>
  <si>
    <t>What are Java agents and bytecode manipulation?</t>
  </si>
  <si>
    <t>Instrumentation agents (-javaagent) and libraries like ASM or ByteBuddy modify classes at load time (profilers, APMs, mocking).</t>
  </si>
  <si>
    <t>ast, dis modules</t>
  </si>
  <si>
    <t>What are the ast and dis modules?</t>
  </si>
  <si>
    <t>ast parses code into syntax trees; dis shows bytecode; useful for linters, code analysis and learning.</t>
  </si>
  <si>
    <t>Different levels of code inspection.</t>
  </si>
  <si>
    <t>Performance tuning (JVM flags)</t>
  </si>
  <si>
    <t>How do you tune Java performance?</t>
  </si>
  <si>
    <t>Measure first; tune heap and GC, JIT flags, algorithms, data structures, concurrency, I/O; use JMH for benchmarks.</t>
  </si>
  <si>
    <t>Performance tuning (Cython, Numba, multiprocessing)</t>
  </si>
  <si>
    <t>How do you improve Python performance?</t>
  </si>
  <si>
    <t>Better algorithms, built-ins, NumPy vectorization, caching, multiprocessing, asyncio, Cython, Numba, PyPy.</t>
  </si>
  <si>
    <t>Java is faster by default; Python often leans on native libraries.</t>
  </si>
  <si>
    <t>Software architecture (monolith, MVC, hexagonal)</t>
  </si>
  <si>
    <t>What are software architecture styles?</t>
  </si>
  <si>
    <t>Layered, MVC, hexagonal, monolith vs microservices, event-driven, CQRS; Spring layers: controller, service, repository.</t>
  </si>
  <si>
    <t>Software architecture (MVC, MVT, hexagonal)</t>
  </si>
  <si>
    <t>MVC, Django MVT, hexagonal, service-oriented and event-driven designs.</t>
  </si>
  <si>
    <t>Concepts are the same.</t>
  </si>
  <si>
    <t>Applets, Java Web Start (deprecated)</t>
  </si>
  <si>
    <t>What are Applets and Java Web Start?</t>
  </si>
  <si>
    <t>Browser-embedded Java apps and web-launched apps; deprecated and removed, only historical.</t>
  </si>
  <si>
    <t>Not relevant today.</t>
  </si>
  <si>
    <t>Data structures and algorithms in Java</t>
  </si>
  <si>
    <t>How do you learn data structures and algorithms in Java?</t>
  </si>
  <si>
    <t>Arrays, lists, stacks, queues, trees, graphs, heaps, hash tables, sorting, searching, recursion, dynamic programming, using Collections; Big-O analysis.</t>
  </si>
  <si>
    <t>Data structures and algorithms in Python</t>
  </si>
  <si>
    <t>How do you learn data structures and algorithms in Python?</t>
  </si>
  <si>
    <t>Same topics using list, dict, set, deque, heapq, bisect; shorter code that suits interview practice.</t>
  </si>
  <si>
    <t>Python is quicker to write; Java is common in interviews too.</t>
  </si>
  <si>
    <t>Projects, interview preparation</t>
  </si>
  <si>
    <t>What projects and interview prep should I do in Java?</t>
  </si>
  <si>
    <t>Build console apps, a CRUD REST API with Spring Boot and a database, a microservice demo; revise core Java, collections, OOP, concurrency, JVM, Spring and SQL.</t>
  </si>
  <si>
    <t>What projects and interview prep should I do in Python?</t>
  </si>
  <si>
    <t>Build scripts, a Flask or FastAPI service, a data analysis project, a web scraper, an automation tool; revise core Python, OOP, collections, generators and frameworks.</t>
  </si>
  <si>
    <t>Pick projects for the job you want.</t>
  </si>
  <si>
    <t>IntelliJ IDEA</t>
  </si>
  <si>
    <t>What is IntelliJ IDEA?</t>
  </si>
  <si>
    <t>The leading Java IDE with strong refactoring, debugging, Spring and Maven/Gradle support; Community (free) and Ultimate editions.</t>
  </si>
  <si>
    <t>PyCharm</t>
  </si>
  <si>
    <t>What is PyCharm?</t>
  </si>
  <si>
    <t>The leading Python IDE with debugging, virtual environment support, Django and scientific tools; Community and Professional editions.</t>
  </si>
  <si>
    <t>Both come from JetBrains.</t>
  </si>
  <si>
    <t>Eclipse</t>
  </si>
  <si>
    <t>What is Eclipse?</t>
  </si>
  <si>
    <t>Free open-source Java IDE with a large plugin ecosystem, widely used in enterprises.</t>
  </si>
  <si>
    <t>Spyder</t>
  </si>
  <si>
    <t>What is Spyder?</t>
  </si>
  <si>
    <t>A scientific Python IDE with variable explorer and plotting, popular for data work.</t>
  </si>
  <si>
    <t>Eclipse is general purpose; Spyder targets data analysis.</t>
  </si>
  <si>
    <t>NetBeans</t>
  </si>
  <si>
    <t>What is NetBeans?</t>
  </si>
  <si>
    <t>Apache NetBeans is a free Java IDE with GUI designer and Maven support.</t>
  </si>
  <si>
    <t>IDLE</t>
  </si>
  <si>
    <t>What is IDLE?</t>
  </si>
  <si>
    <t>Python's simple built-in IDE with shell and editor, good for first steps.</t>
  </si>
  <si>
    <t>Both are beginner-friendly but basic.</t>
  </si>
  <si>
    <t>VS Code (Java extensions)</t>
  </si>
  <si>
    <t>How do you use VS Code for Java?</t>
  </si>
  <si>
    <t>Install the Extension Pack for Java: language support, debugger, test runner, Maven/Gradle.</t>
  </si>
  <si>
    <t>VS Code (Python extension)</t>
  </si>
  <si>
    <t>How do you use VS Code for Python?</t>
  </si>
  <si>
    <t>Install the Python extension: IntelliSense, debugging, notebooks, linting and virtual environments.</t>
  </si>
  <si>
    <t>VS Code is one editor for both languages.</t>
  </si>
  <si>
    <t>BlueJ, JDeveloper (beginners)</t>
  </si>
  <si>
    <t>What are BlueJ and JDeveloper?</t>
  </si>
  <si>
    <t>BlueJ is a simple educational IDE showing class diagrams; JDeveloper is Oracle's enterprise IDE.</t>
  </si>
  <si>
    <t>Thonny (beginners)</t>
  </si>
  <si>
    <t>What is Thonny?</t>
  </si>
  <si>
    <t>A beginner Python IDE with a step-through debugger and simple UI.</t>
  </si>
  <si>
    <t>Beginner-friendly options.</t>
  </si>
  <si>
    <t>JDoodle, OnlineGDB</t>
  </si>
  <si>
    <t>What online tools can you use to run Java?</t>
  </si>
  <si>
    <t>JDoodle, OnlineGDB, Replit, Programiz for quick practice without installation.</t>
  </si>
  <si>
    <t>Google Colab, Jupyter Notebook, Replit</t>
  </si>
  <si>
    <t>What online tools can you use to run Python?</t>
  </si>
  <si>
    <t>Google Colab, Jupyter Notebook, Replit, Programiz for quick practice and data work.</t>
  </si>
  <si>
    <t>Colab provides free GPUs for Python.</t>
  </si>
  <si>
    <t>Postman (API testing)</t>
  </si>
  <si>
    <t>How is Postman used with Java APIs?</t>
  </si>
  <si>
    <t>Postman sends HTTP requests, saves collections, tests responses and mocks APIs, useful with Spring Boot services.</t>
  </si>
  <si>
    <t>How is Postman used with Python APIs?</t>
  </si>
  <si>
    <t>The same use with FastAPI, Flask or Django services; also try curl, HTTPie or Swagger UI.</t>
  </si>
  <si>
    <t>Language-independent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</si>
</sst>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i/>
      <sz val="10"/>
      <color rgb="FF375623"/>
      <name val="Arial"/>
      <charset val="1"/>
    </font>
    <font>
      <i/>
      <sz val="10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55A11"/>
        <bgColor rgb="FF9C57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5"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44" customWidth="1"/>
    <col min="3" max="3" width="13" customWidth="1"/>
    <col min="4" max="4" width="14" customWidth="1"/>
    <col min="5" max="5" width="15" customWidth="1"/>
    <col min="6" max="6" width="10" customWidth="1"/>
    <col min="7" max="7" width="11" customWidth="1"/>
    <col min="8" max="8" width="9" customWidth="1"/>
    <col min="9" max="9" width="12" customWidth="1"/>
    <col min="10" max="10" width="10" customWidth="1"/>
  </cols>
  <sheetData>
    <row r="1" spans="1:10" ht="17.399999999999999" x14ac:dyDescent="0.3">
      <c r="A1" s="1" t="s">
        <v>0</v>
      </c>
    </row>
    <row r="3" spans="1:10" ht="28.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3">
      <c r="A4" s="3" t="s">
        <v>11</v>
      </c>
      <c r="B4" s="4">
        <f>COUNTIF('Java vs Python'!$B$2:$B$190,A4)</f>
        <v>13</v>
      </c>
      <c r="C4" s="4">
        <f t="shared" ref="C4:C39" si="0">B4-F4</f>
        <v>12</v>
      </c>
      <c r="D4" s="4">
        <f t="shared" ref="D4:D39" si="1">B4-G4</f>
        <v>13</v>
      </c>
      <c r="E4" s="4">
        <f t="shared" ref="E4:E39" si="2">B4-F4-G4</f>
        <v>12</v>
      </c>
      <c r="F4" s="4">
        <f>COUNTIFS('Java vs Python'!$B$2:$B$190,A4,'Java vs Python'!$E$2:$E$190,"NA*")</f>
        <v>1</v>
      </c>
      <c r="G4" s="4">
        <f>COUNTIFS('Java vs Python'!$B$2:$B$190,A4,'Java vs Python'!$H$2:$H$190,"NA*")</f>
        <v>0</v>
      </c>
      <c r="H4" s="4">
        <f>COUNTIFS('Java vs Python'!$B$2:$B$190,A4,'Java vs Python'!$K$2:$K$190,"Done")</f>
        <v>1</v>
      </c>
      <c r="I4" s="4">
        <f>COUNTIFS('Java vs Python'!$B$2:$B$190,A4,'Java vs Python'!$K$2:$K$190,"In Progress")</f>
        <v>0</v>
      </c>
      <c r="J4" s="5">
        <f t="shared" ref="J4:J40" si="3">IF(B4=0,0,H4/B4)</f>
        <v>7.6923076923076927E-2</v>
      </c>
    </row>
    <row r="5" spans="1:10" x14ac:dyDescent="0.3">
      <c r="A5" s="3" t="s">
        <v>12</v>
      </c>
      <c r="B5" s="4">
        <f>COUNTIF('Java vs Python'!$B$2:$B$190,A5)</f>
        <v>3</v>
      </c>
      <c r="C5" s="4">
        <f t="shared" si="0"/>
        <v>3</v>
      </c>
      <c r="D5" s="4">
        <f t="shared" si="1"/>
        <v>3</v>
      </c>
      <c r="E5" s="4">
        <f t="shared" si="2"/>
        <v>3</v>
      </c>
      <c r="F5" s="4">
        <f>COUNTIFS('Java vs Python'!$B$2:$B$190,A5,'Java vs Python'!$E$2:$E$190,"NA*")</f>
        <v>0</v>
      </c>
      <c r="G5" s="4">
        <f>COUNTIFS('Java vs Python'!$B$2:$B$190,A5,'Java vs Python'!$H$2:$H$190,"NA*")</f>
        <v>0</v>
      </c>
      <c r="H5" s="4">
        <f>COUNTIFS('Java vs Python'!$B$2:$B$190,A5,'Java vs Python'!$K$2:$K$190,"Done")</f>
        <v>0</v>
      </c>
      <c r="I5" s="4">
        <f>COUNTIFS('Java vs Python'!$B$2:$B$190,A5,'Java vs Python'!$K$2:$K$190,"In Progress")</f>
        <v>0</v>
      </c>
      <c r="J5" s="5">
        <f t="shared" si="3"/>
        <v>0</v>
      </c>
    </row>
    <row r="6" spans="1:10" x14ac:dyDescent="0.3">
      <c r="A6" s="3" t="s">
        <v>13</v>
      </c>
      <c r="B6" s="4">
        <f>COUNTIF('Java vs Python'!$B$2:$B$190,A6)</f>
        <v>7</v>
      </c>
      <c r="C6" s="4">
        <f t="shared" si="0"/>
        <v>6</v>
      </c>
      <c r="D6" s="4">
        <f t="shared" si="1"/>
        <v>6</v>
      </c>
      <c r="E6" s="4">
        <f t="shared" si="2"/>
        <v>5</v>
      </c>
      <c r="F6" s="4">
        <f>COUNTIFS('Java vs Python'!$B$2:$B$190,A6,'Java vs Python'!$E$2:$E$190,"NA*")</f>
        <v>1</v>
      </c>
      <c r="G6" s="4">
        <f>COUNTIFS('Java vs Python'!$B$2:$B$190,A6,'Java vs Python'!$H$2:$H$190,"NA*")</f>
        <v>1</v>
      </c>
      <c r="H6" s="4">
        <f>COUNTIFS('Java vs Python'!$B$2:$B$190,A6,'Java vs Python'!$K$2:$K$190,"Done")</f>
        <v>0</v>
      </c>
      <c r="I6" s="4">
        <f>COUNTIFS('Java vs Python'!$B$2:$B$190,A6,'Java vs Python'!$K$2:$K$190,"In Progress")</f>
        <v>0</v>
      </c>
      <c r="J6" s="5">
        <f t="shared" si="3"/>
        <v>0</v>
      </c>
    </row>
    <row r="7" spans="1:10" x14ac:dyDescent="0.3">
      <c r="A7" s="3" t="s">
        <v>14</v>
      </c>
      <c r="B7" s="4">
        <f>COUNTIF('Java vs Python'!$B$2:$B$190,A7)</f>
        <v>2</v>
      </c>
      <c r="C7" s="4">
        <f t="shared" si="0"/>
        <v>2</v>
      </c>
      <c r="D7" s="4">
        <f t="shared" si="1"/>
        <v>2</v>
      </c>
      <c r="E7" s="4">
        <f t="shared" si="2"/>
        <v>2</v>
      </c>
      <c r="F7" s="4">
        <f>COUNTIFS('Java vs Python'!$B$2:$B$190,A7,'Java vs Python'!$E$2:$E$190,"NA*")</f>
        <v>0</v>
      </c>
      <c r="G7" s="4">
        <f>COUNTIFS('Java vs Python'!$B$2:$B$190,A7,'Java vs Python'!$H$2:$H$190,"NA*")</f>
        <v>0</v>
      </c>
      <c r="H7" s="4">
        <f>COUNTIFS('Java vs Python'!$B$2:$B$190,A7,'Java vs Python'!$K$2:$K$190,"Done")</f>
        <v>0</v>
      </c>
      <c r="I7" s="4">
        <f>COUNTIFS('Java vs Python'!$B$2:$B$190,A7,'Java vs Python'!$K$2:$K$190,"In Progress")</f>
        <v>0</v>
      </c>
      <c r="J7" s="5">
        <f t="shared" si="3"/>
        <v>0</v>
      </c>
    </row>
    <row r="8" spans="1:10" x14ac:dyDescent="0.3">
      <c r="A8" s="3" t="s">
        <v>15</v>
      </c>
      <c r="B8" s="4">
        <f>COUNTIF('Java vs Python'!$B$2:$B$190,A8)</f>
        <v>2</v>
      </c>
      <c r="C8" s="4">
        <f t="shared" si="0"/>
        <v>2</v>
      </c>
      <c r="D8" s="4">
        <f t="shared" si="1"/>
        <v>2</v>
      </c>
      <c r="E8" s="4">
        <f t="shared" si="2"/>
        <v>2</v>
      </c>
      <c r="F8" s="4">
        <f>COUNTIFS('Java vs Python'!$B$2:$B$190,A8,'Java vs Python'!$E$2:$E$190,"NA*")</f>
        <v>0</v>
      </c>
      <c r="G8" s="4">
        <f>COUNTIFS('Java vs Python'!$B$2:$B$190,A8,'Java vs Python'!$H$2:$H$190,"NA*")</f>
        <v>0</v>
      </c>
      <c r="H8" s="4">
        <f>COUNTIFS('Java vs Python'!$B$2:$B$190,A8,'Java vs Python'!$K$2:$K$190,"Done")</f>
        <v>0</v>
      </c>
      <c r="I8" s="4">
        <f>COUNTIFS('Java vs Python'!$B$2:$B$190,A8,'Java vs Python'!$K$2:$K$190,"In Progress")</f>
        <v>0</v>
      </c>
      <c r="J8" s="5">
        <f t="shared" si="3"/>
        <v>0</v>
      </c>
    </row>
    <row r="9" spans="1:10" x14ac:dyDescent="0.3">
      <c r="A9" s="3" t="s">
        <v>16</v>
      </c>
      <c r="B9" s="4">
        <f>COUNTIF('Java vs Python'!$B$2:$B$190,A9)</f>
        <v>2</v>
      </c>
      <c r="C9" s="4">
        <f t="shared" si="0"/>
        <v>2</v>
      </c>
      <c r="D9" s="4">
        <f t="shared" si="1"/>
        <v>2</v>
      </c>
      <c r="E9" s="4">
        <f t="shared" si="2"/>
        <v>2</v>
      </c>
      <c r="F9" s="4">
        <f>COUNTIFS('Java vs Python'!$B$2:$B$190,A9,'Java vs Python'!$E$2:$E$190,"NA*")</f>
        <v>0</v>
      </c>
      <c r="G9" s="4">
        <f>COUNTIFS('Java vs Python'!$B$2:$B$190,A9,'Java vs Python'!$H$2:$H$190,"NA*")</f>
        <v>0</v>
      </c>
      <c r="H9" s="4">
        <f>COUNTIFS('Java vs Python'!$B$2:$B$190,A9,'Java vs Python'!$K$2:$K$190,"Done")</f>
        <v>0</v>
      </c>
      <c r="I9" s="4">
        <f>COUNTIFS('Java vs Python'!$B$2:$B$190,A9,'Java vs Python'!$K$2:$K$190,"In Progress")</f>
        <v>0</v>
      </c>
      <c r="J9" s="5">
        <f t="shared" si="3"/>
        <v>0</v>
      </c>
    </row>
    <row r="10" spans="1:10" x14ac:dyDescent="0.3">
      <c r="A10" s="3" t="s">
        <v>17</v>
      </c>
      <c r="B10" s="4">
        <f>COUNTIF('Java vs Python'!$B$2:$B$190,A10)</f>
        <v>3</v>
      </c>
      <c r="C10" s="4">
        <f t="shared" si="0"/>
        <v>2</v>
      </c>
      <c r="D10" s="4">
        <f t="shared" si="1"/>
        <v>3</v>
      </c>
      <c r="E10" s="4">
        <f t="shared" si="2"/>
        <v>2</v>
      </c>
      <c r="F10" s="4">
        <f>COUNTIFS('Java vs Python'!$B$2:$B$190,A10,'Java vs Python'!$E$2:$E$190,"NA*")</f>
        <v>1</v>
      </c>
      <c r="G10" s="4">
        <f>COUNTIFS('Java vs Python'!$B$2:$B$190,A10,'Java vs Python'!$H$2:$H$190,"NA*")</f>
        <v>0</v>
      </c>
      <c r="H10" s="4">
        <f>COUNTIFS('Java vs Python'!$B$2:$B$190,A10,'Java vs Python'!$K$2:$K$190,"Done")</f>
        <v>0</v>
      </c>
      <c r="I10" s="4">
        <f>COUNTIFS('Java vs Python'!$B$2:$B$190,A10,'Java vs Python'!$K$2:$K$190,"In Progress")</f>
        <v>0</v>
      </c>
      <c r="J10" s="5">
        <f t="shared" si="3"/>
        <v>0</v>
      </c>
    </row>
    <row r="11" spans="1:10" x14ac:dyDescent="0.3">
      <c r="A11" s="3" t="s">
        <v>18</v>
      </c>
      <c r="B11" s="4">
        <f>COUNTIF('Java vs Python'!$B$2:$B$190,A11)</f>
        <v>3</v>
      </c>
      <c r="C11" s="4">
        <f t="shared" si="0"/>
        <v>3</v>
      </c>
      <c r="D11" s="4">
        <f t="shared" si="1"/>
        <v>2</v>
      </c>
      <c r="E11" s="4">
        <f t="shared" si="2"/>
        <v>2</v>
      </c>
      <c r="F11" s="4">
        <f>COUNTIFS('Java vs Python'!$B$2:$B$190,A11,'Java vs Python'!$E$2:$E$190,"NA*")</f>
        <v>0</v>
      </c>
      <c r="G11" s="4">
        <f>COUNTIFS('Java vs Python'!$B$2:$B$190,A11,'Java vs Python'!$H$2:$H$190,"NA*")</f>
        <v>1</v>
      </c>
      <c r="H11" s="4">
        <f>COUNTIFS('Java vs Python'!$B$2:$B$190,A11,'Java vs Python'!$K$2:$K$190,"Done")</f>
        <v>0</v>
      </c>
      <c r="I11" s="4">
        <f>COUNTIFS('Java vs Python'!$B$2:$B$190,A11,'Java vs Python'!$K$2:$K$190,"In Progress")</f>
        <v>0</v>
      </c>
      <c r="J11" s="5">
        <f t="shared" si="3"/>
        <v>0</v>
      </c>
    </row>
    <row r="12" spans="1:10" x14ac:dyDescent="0.3">
      <c r="A12" s="3" t="s">
        <v>19</v>
      </c>
      <c r="B12" s="4">
        <f>COUNTIF('Java vs Python'!$B$2:$B$190,A12)</f>
        <v>1</v>
      </c>
      <c r="C12" s="4">
        <f t="shared" si="0"/>
        <v>1</v>
      </c>
      <c r="D12" s="4">
        <f t="shared" si="1"/>
        <v>1</v>
      </c>
      <c r="E12" s="4">
        <f t="shared" si="2"/>
        <v>1</v>
      </c>
      <c r="F12" s="4">
        <f>COUNTIFS('Java vs Python'!$B$2:$B$190,A12,'Java vs Python'!$E$2:$E$190,"NA*")</f>
        <v>0</v>
      </c>
      <c r="G12" s="4">
        <f>COUNTIFS('Java vs Python'!$B$2:$B$190,A12,'Java vs Python'!$H$2:$H$190,"NA*")</f>
        <v>0</v>
      </c>
      <c r="H12" s="4">
        <f>COUNTIFS('Java vs Python'!$B$2:$B$190,A12,'Java vs Python'!$K$2:$K$190,"Done")</f>
        <v>0</v>
      </c>
      <c r="I12" s="4">
        <f>COUNTIFS('Java vs Python'!$B$2:$B$190,A12,'Java vs Python'!$K$2:$K$190,"In Progress")</f>
        <v>0</v>
      </c>
      <c r="J12" s="5">
        <f t="shared" si="3"/>
        <v>0</v>
      </c>
    </row>
    <row r="13" spans="1:10" x14ac:dyDescent="0.3">
      <c r="A13" s="3" t="s">
        <v>20</v>
      </c>
      <c r="B13" s="4">
        <f>COUNTIF('Java vs Python'!$B$2:$B$190,A13)</f>
        <v>15</v>
      </c>
      <c r="C13" s="4">
        <f t="shared" si="0"/>
        <v>13</v>
      </c>
      <c r="D13" s="4">
        <f t="shared" si="1"/>
        <v>11</v>
      </c>
      <c r="E13" s="4">
        <f t="shared" si="2"/>
        <v>9</v>
      </c>
      <c r="F13" s="4">
        <f>COUNTIFS('Java vs Python'!$B$2:$B$190,A13,'Java vs Python'!$E$2:$E$190,"NA*")</f>
        <v>2</v>
      </c>
      <c r="G13" s="4">
        <f>COUNTIFS('Java vs Python'!$B$2:$B$190,A13,'Java vs Python'!$H$2:$H$190,"NA*")</f>
        <v>4</v>
      </c>
      <c r="H13" s="4">
        <f>COUNTIFS('Java vs Python'!$B$2:$B$190,A13,'Java vs Python'!$K$2:$K$190,"Done")</f>
        <v>0</v>
      </c>
      <c r="I13" s="4">
        <f>COUNTIFS('Java vs Python'!$B$2:$B$190,A13,'Java vs Python'!$K$2:$K$190,"In Progress")</f>
        <v>0</v>
      </c>
      <c r="J13" s="5">
        <f t="shared" si="3"/>
        <v>0</v>
      </c>
    </row>
    <row r="14" spans="1:10" x14ac:dyDescent="0.3">
      <c r="A14" s="3" t="s">
        <v>21</v>
      </c>
      <c r="B14" s="4">
        <f>COUNTIF('Java vs Python'!$B$2:$B$190,A14)</f>
        <v>10</v>
      </c>
      <c r="C14" s="4">
        <f t="shared" si="0"/>
        <v>7</v>
      </c>
      <c r="D14" s="4">
        <f t="shared" si="1"/>
        <v>8</v>
      </c>
      <c r="E14" s="4">
        <f t="shared" si="2"/>
        <v>5</v>
      </c>
      <c r="F14" s="4">
        <f>COUNTIFS('Java vs Python'!$B$2:$B$190,A14,'Java vs Python'!$E$2:$E$190,"NA*")</f>
        <v>3</v>
      </c>
      <c r="G14" s="4">
        <f>COUNTIFS('Java vs Python'!$B$2:$B$190,A14,'Java vs Python'!$H$2:$H$190,"NA*")</f>
        <v>2</v>
      </c>
      <c r="H14" s="4">
        <f>COUNTIFS('Java vs Python'!$B$2:$B$190,A14,'Java vs Python'!$K$2:$K$190,"Done")</f>
        <v>0</v>
      </c>
      <c r="I14" s="4">
        <f>COUNTIFS('Java vs Python'!$B$2:$B$190,A14,'Java vs Python'!$K$2:$K$190,"In Progress")</f>
        <v>0</v>
      </c>
      <c r="J14" s="5">
        <f t="shared" si="3"/>
        <v>0</v>
      </c>
    </row>
    <row r="15" spans="1:10" x14ac:dyDescent="0.3">
      <c r="A15" s="3" t="s">
        <v>22</v>
      </c>
      <c r="B15" s="4">
        <f>COUNTIF('Java vs Python'!$B$2:$B$190,A15)</f>
        <v>26</v>
      </c>
      <c r="C15" s="4">
        <f t="shared" si="0"/>
        <v>24</v>
      </c>
      <c r="D15" s="4">
        <f t="shared" si="1"/>
        <v>21</v>
      </c>
      <c r="E15" s="4">
        <f t="shared" si="2"/>
        <v>19</v>
      </c>
      <c r="F15" s="4">
        <f>COUNTIFS('Java vs Python'!$B$2:$B$190,A15,'Java vs Python'!$E$2:$E$190,"NA*")</f>
        <v>2</v>
      </c>
      <c r="G15" s="4">
        <f>COUNTIFS('Java vs Python'!$B$2:$B$190,A15,'Java vs Python'!$H$2:$H$190,"NA*")</f>
        <v>5</v>
      </c>
      <c r="H15" s="4">
        <f>COUNTIFS('Java vs Python'!$B$2:$B$190,A15,'Java vs Python'!$K$2:$K$190,"Done")</f>
        <v>0</v>
      </c>
      <c r="I15" s="4">
        <f>COUNTIFS('Java vs Python'!$B$2:$B$190,A15,'Java vs Python'!$K$2:$K$190,"In Progress")</f>
        <v>0</v>
      </c>
      <c r="J15" s="5">
        <f t="shared" si="3"/>
        <v>0</v>
      </c>
    </row>
    <row r="16" spans="1:10" x14ac:dyDescent="0.3">
      <c r="A16" s="3" t="s">
        <v>23</v>
      </c>
      <c r="B16" s="4">
        <f>COUNTIF('Java vs Python'!$B$2:$B$190,A16)</f>
        <v>2</v>
      </c>
      <c r="C16" s="4">
        <f t="shared" si="0"/>
        <v>2</v>
      </c>
      <c r="D16" s="4">
        <f t="shared" si="1"/>
        <v>1</v>
      </c>
      <c r="E16" s="4">
        <f t="shared" si="2"/>
        <v>1</v>
      </c>
      <c r="F16" s="4">
        <f>COUNTIFS('Java vs Python'!$B$2:$B$190,A16,'Java vs Python'!$E$2:$E$190,"NA*")</f>
        <v>0</v>
      </c>
      <c r="G16" s="4">
        <f>COUNTIFS('Java vs Python'!$B$2:$B$190,A16,'Java vs Python'!$H$2:$H$190,"NA*")</f>
        <v>1</v>
      </c>
      <c r="H16" s="4">
        <f>COUNTIFS('Java vs Python'!$B$2:$B$190,A16,'Java vs Python'!$K$2:$K$190,"Done")</f>
        <v>0</v>
      </c>
      <c r="I16" s="4">
        <f>COUNTIFS('Java vs Python'!$B$2:$B$190,A16,'Java vs Python'!$K$2:$K$190,"In Progress")</f>
        <v>0</v>
      </c>
      <c r="J16" s="5">
        <f t="shared" si="3"/>
        <v>0</v>
      </c>
    </row>
    <row r="17" spans="1:10" x14ac:dyDescent="0.3">
      <c r="A17" s="3" t="s">
        <v>24</v>
      </c>
      <c r="B17" s="4">
        <f>COUNTIF('Java vs Python'!$B$2:$B$190,A17)</f>
        <v>6</v>
      </c>
      <c r="C17" s="4">
        <f t="shared" si="0"/>
        <v>6</v>
      </c>
      <c r="D17" s="4">
        <f t="shared" si="1"/>
        <v>5</v>
      </c>
      <c r="E17" s="4">
        <f t="shared" si="2"/>
        <v>5</v>
      </c>
      <c r="F17" s="4">
        <f>COUNTIFS('Java vs Python'!$B$2:$B$190,A17,'Java vs Python'!$E$2:$E$190,"NA*")</f>
        <v>0</v>
      </c>
      <c r="G17" s="4">
        <f>COUNTIFS('Java vs Python'!$B$2:$B$190,A17,'Java vs Python'!$H$2:$H$190,"NA*")</f>
        <v>1</v>
      </c>
      <c r="H17" s="4">
        <f>COUNTIFS('Java vs Python'!$B$2:$B$190,A17,'Java vs Python'!$K$2:$K$190,"Done")</f>
        <v>0</v>
      </c>
      <c r="I17" s="4">
        <f>COUNTIFS('Java vs Python'!$B$2:$B$190,A17,'Java vs Python'!$K$2:$K$190,"In Progress")</f>
        <v>0</v>
      </c>
      <c r="J17" s="5">
        <f t="shared" si="3"/>
        <v>0</v>
      </c>
    </row>
    <row r="18" spans="1:10" x14ac:dyDescent="0.3">
      <c r="A18" s="3" t="s">
        <v>25</v>
      </c>
      <c r="B18" s="4">
        <f>COUNTIF('Java vs Python'!$B$2:$B$190,A18)</f>
        <v>6</v>
      </c>
      <c r="C18" s="4">
        <f t="shared" si="0"/>
        <v>6</v>
      </c>
      <c r="D18" s="4">
        <f t="shared" si="1"/>
        <v>6</v>
      </c>
      <c r="E18" s="4">
        <f t="shared" si="2"/>
        <v>6</v>
      </c>
      <c r="F18" s="4">
        <f>COUNTIFS('Java vs Python'!$B$2:$B$190,A18,'Java vs Python'!$E$2:$E$190,"NA*")</f>
        <v>0</v>
      </c>
      <c r="G18" s="4">
        <f>COUNTIFS('Java vs Python'!$B$2:$B$190,A18,'Java vs Python'!$H$2:$H$190,"NA*")</f>
        <v>0</v>
      </c>
      <c r="H18" s="4">
        <f>COUNTIFS('Java vs Python'!$B$2:$B$190,A18,'Java vs Python'!$K$2:$K$190,"Done")</f>
        <v>0</v>
      </c>
      <c r="I18" s="4">
        <f>COUNTIFS('Java vs Python'!$B$2:$B$190,A18,'Java vs Python'!$K$2:$K$190,"In Progress")</f>
        <v>0</v>
      </c>
      <c r="J18" s="5">
        <f t="shared" si="3"/>
        <v>0</v>
      </c>
    </row>
    <row r="19" spans="1:10" x14ac:dyDescent="0.3">
      <c r="A19" s="3" t="s">
        <v>26</v>
      </c>
      <c r="B19" s="4">
        <f>COUNTIF('Java vs Python'!$B$2:$B$190,A19)</f>
        <v>9</v>
      </c>
      <c r="C19" s="4">
        <f t="shared" si="0"/>
        <v>8</v>
      </c>
      <c r="D19" s="4">
        <f t="shared" si="1"/>
        <v>8</v>
      </c>
      <c r="E19" s="4">
        <f t="shared" si="2"/>
        <v>7</v>
      </c>
      <c r="F19" s="4">
        <f>COUNTIFS('Java vs Python'!$B$2:$B$190,A19,'Java vs Python'!$E$2:$E$190,"NA*")</f>
        <v>1</v>
      </c>
      <c r="G19" s="4">
        <f>COUNTIFS('Java vs Python'!$B$2:$B$190,A19,'Java vs Python'!$H$2:$H$190,"NA*")</f>
        <v>1</v>
      </c>
      <c r="H19" s="4">
        <f>COUNTIFS('Java vs Python'!$B$2:$B$190,A19,'Java vs Python'!$K$2:$K$190,"Done")</f>
        <v>0</v>
      </c>
      <c r="I19" s="4">
        <f>COUNTIFS('Java vs Python'!$B$2:$B$190,A19,'Java vs Python'!$K$2:$K$190,"In Progress")</f>
        <v>0</v>
      </c>
      <c r="J19" s="5">
        <f t="shared" si="3"/>
        <v>0</v>
      </c>
    </row>
    <row r="20" spans="1:10" x14ac:dyDescent="0.3">
      <c r="A20" s="3" t="s">
        <v>27</v>
      </c>
      <c r="B20" s="4">
        <f>COUNTIF('Java vs Python'!$B$2:$B$190,A20)</f>
        <v>7</v>
      </c>
      <c r="C20" s="4">
        <f t="shared" si="0"/>
        <v>7</v>
      </c>
      <c r="D20" s="4">
        <f t="shared" si="1"/>
        <v>4</v>
      </c>
      <c r="E20" s="4">
        <f t="shared" si="2"/>
        <v>4</v>
      </c>
      <c r="F20" s="4">
        <f>COUNTIFS('Java vs Python'!$B$2:$B$190,A20,'Java vs Python'!$E$2:$E$190,"NA*")</f>
        <v>0</v>
      </c>
      <c r="G20" s="4">
        <f>COUNTIFS('Java vs Python'!$B$2:$B$190,A20,'Java vs Python'!$H$2:$H$190,"NA*")</f>
        <v>3</v>
      </c>
      <c r="H20" s="4">
        <f>COUNTIFS('Java vs Python'!$B$2:$B$190,A20,'Java vs Python'!$K$2:$K$190,"Done")</f>
        <v>0</v>
      </c>
      <c r="I20" s="4">
        <f>COUNTIFS('Java vs Python'!$B$2:$B$190,A20,'Java vs Python'!$K$2:$K$190,"In Progress")</f>
        <v>0</v>
      </c>
      <c r="J20" s="5">
        <f t="shared" si="3"/>
        <v>0</v>
      </c>
    </row>
    <row r="21" spans="1:10" x14ac:dyDescent="0.3">
      <c r="A21" s="3" t="s">
        <v>28</v>
      </c>
      <c r="B21" s="4">
        <f>COUNTIF('Java vs Python'!$B$2:$B$190,A21)</f>
        <v>2</v>
      </c>
      <c r="C21" s="4">
        <f t="shared" si="0"/>
        <v>2</v>
      </c>
      <c r="D21" s="4">
        <f t="shared" si="1"/>
        <v>1</v>
      </c>
      <c r="E21" s="4">
        <f t="shared" si="2"/>
        <v>1</v>
      </c>
      <c r="F21" s="4">
        <f>COUNTIFS('Java vs Python'!$B$2:$B$190,A21,'Java vs Python'!$E$2:$E$190,"NA*")</f>
        <v>0</v>
      </c>
      <c r="G21" s="4">
        <f>COUNTIFS('Java vs Python'!$B$2:$B$190,A21,'Java vs Python'!$H$2:$H$190,"NA*")</f>
        <v>1</v>
      </c>
      <c r="H21" s="4">
        <f>COUNTIFS('Java vs Python'!$B$2:$B$190,A21,'Java vs Python'!$K$2:$K$190,"Done")</f>
        <v>0</v>
      </c>
      <c r="I21" s="4">
        <f>COUNTIFS('Java vs Python'!$B$2:$B$190,A21,'Java vs Python'!$K$2:$K$190,"In Progress")</f>
        <v>0</v>
      </c>
      <c r="J21" s="5">
        <f t="shared" si="3"/>
        <v>0</v>
      </c>
    </row>
    <row r="22" spans="1:10" x14ac:dyDescent="0.3">
      <c r="A22" s="3" t="s">
        <v>29</v>
      </c>
      <c r="B22" s="4">
        <f>COUNTIF('Java vs Python'!$B$2:$B$190,A22)</f>
        <v>3</v>
      </c>
      <c r="C22" s="4">
        <f t="shared" si="0"/>
        <v>3</v>
      </c>
      <c r="D22" s="4">
        <f t="shared" si="1"/>
        <v>3</v>
      </c>
      <c r="E22" s="4">
        <f t="shared" si="2"/>
        <v>3</v>
      </c>
      <c r="F22" s="4">
        <f>COUNTIFS('Java vs Python'!$B$2:$B$190,A22,'Java vs Python'!$E$2:$E$190,"NA*")</f>
        <v>0</v>
      </c>
      <c r="G22" s="4">
        <f>COUNTIFS('Java vs Python'!$B$2:$B$190,A22,'Java vs Python'!$H$2:$H$190,"NA*")</f>
        <v>0</v>
      </c>
      <c r="H22" s="4">
        <f>COUNTIFS('Java vs Python'!$B$2:$B$190,A22,'Java vs Python'!$K$2:$K$190,"Done")</f>
        <v>0</v>
      </c>
      <c r="I22" s="4">
        <f>COUNTIFS('Java vs Python'!$B$2:$B$190,A22,'Java vs Python'!$K$2:$K$190,"In Progress")</f>
        <v>0</v>
      </c>
      <c r="J22" s="5">
        <f t="shared" si="3"/>
        <v>0</v>
      </c>
    </row>
    <row r="23" spans="1:10" x14ac:dyDescent="0.3">
      <c r="A23" s="3" t="s">
        <v>30</v>
      </c>
      <c r="B23" s="4">
        <f>COUNTIF('Java vs Python'!$B$2:$B$190,A23)</f>
        <v>4</v>
      </c>
      <c r="C23" s="4">
        <f t="shared" si="0"/>
        <v>4</v>
      </c>
      <c r="D23" s="4">
        <f t="shared" si="1"/>
        <v>4</v>
      </c>
      <c r="E23" s="4">
        <f t="shared" si="2"/>
        <v>4</v>
      </c>
      <c r="F23" s="4">
        <f>COUNTIFS('Java vs Python'!$B$2:$B$190,A23,'Java vs Python'!$E$2:$E$190,"NA*")</f>
        <v>0</v>
      </c>
      <c r="G23" s="4">
        <f>COUNTIFS('Java vs Python'!$B$2:$B$190,A23,'Java vs Python'!$H$2:$H$190,"NA*")</f>
        <v>0</v>
      </c>
      <c r="H23" s="4">
        <f>COUNTIFS('Java vs Python'!$B$2:$B$190,A23,'Java vs Python'!$K$2:$K$190,"Done")</f>
        <v>0</v>
      </c>
      <c r="I23" s="4">
        <f>COUNTIFS('Java vs Python'!$B$2:$B$190,A23,'Java vs Python'!$K$2:$K$190,"In Progress")</f>
        <v>0</v>
      </c>
      <c r="J23" s="5">
        <f t="shared" si="3"/>
        <v>0</v>
      </c>
    </row>
    <row r="24" spans="1:10" x14ac:dyDescent="0.3">
      <c r="A24" s="3" t="s">
        <v>31</v>
      </c>
      <c r="B24" s="4">
        <f>COUNTIF('Java vs Python'!$B$2:$B$190,A24)</f>
        <v>4</v>
      </c>
      <c r="C24" s="4">
        <f t="shared" si="0"/>
        <v>4</v>
      </c>
      <c r="D24" s="4">
        <f t="shared" si="1"/>
        <v>3</v>
      </c>
      <c r="E24" s="4">
        <f t="shared" si="2"/>
        <v>3</v>
      </c>
      <c r="F24" s="4">
        <f>COUNTIFS('Java vs Python'!$B$2:$B$190,A24,'Java vs Python'!$E$2:$E$190,"NA*")</f>
        <v>0</v>
      </c>
      <c r="G24" s="4">
        <f>COUNTIFS('Java vs Python'!$B$2:$B$190,A24,'Java vs Python'!$H$2:$H$190,"NA*")</f>
        <v>1</v>
      </c>
      <c r="H24" s="4">
        <f>COUNTIFS('Java vs Python'!$B$2:$B$190,A24,'Java vs Python'!$K$2:$K$190,"Done")</f>
        <v>0</v>
      </c>
      <c r="I24" s="4">
        <f>COUNTIFS('Java vs Python'!$B$2:$B$190,A24,'Java vs Python'!$K$2:$K$190,"In Progress")</f>
        <v>0</v>
      </c>
      <c r="J24" s="5">
        <f t="shared" si="3"/>
        <v>0</v>
      </c>
    </row>
    <row r="25" spans="1:10" x14ac:dyDescent="0.3">
      <c r="A25" s="3" t="s">
        <v>32</v>
      </c>
      <c r="B25" s="4">
        <f>COUNTIF('Java vs Python'!$B$2:$B$190,A25)</f>
        <v>11</v>
      </c>
      <c r="C25" s="4">
        <f t="shared" si="0"/>
        <v>11</v>
      </c>
      <c r="D25" s="4">
        <f t="shared" si="1"/>
        <v>8</v>
      </c>
      <c r="E25" s="4">
        <f t="shared" si="2"/>
        <v>8</v>
      </c>
      <c r="F25" s="4">
        <f>COUNTIFS('Java vs Python'!$B$2:$B$190,A25,'Java vs Python'!$E$2:$E$190,"NA*")</f>
        <v>0</v>
      </c>
      <c r="G25" s="4">
        <f>COUNTIFS('Java vs Python'!$B$2:$B$190,A25,'Java vs Python'!$H$2:$H$190,"NA*")</f>
        <v>3</v>
      </c>
      <c r="H25" s="4">
        <f>COUNTIFS('Java vs Python'!$B$2:$B$190,A25,'Java vs Python'!$K$2:$K$190,"Done")</f>
        <v>0</v>
      </c>
      <c r="I25" s="4">
        <f>COUNTIFS('Java vs Python'!$B$2:$B$190,A25,'Java vs Python'!$K$2:$K$190,"In Progress")</f>
        <v>0</v>
      </c>
      <c r="J25" s="5">
        <f t="shared" si="3"/>
        <v>0</v>
      </c>
    </row>
    <row r="26" spans="1:10" x14ac:dyDescent="0.3">
      <c r="A26" s="3" t="s">
        <v>33</v>
      </c>
      <c r="B26" s="4">
        <f>COUNTIF('Java vs Python'!$B$2:$B$190,A26)</f>
        <v>1</v>
      </c>
      <c r="C26" s="4">
        <f t="shared" si="0"/>
        <v>1</v>
      </c>
      <c r="D26" s="4">
        <f t="shared" si="1"/>
        <v>1</v>
      </c>
      <c r="E26" s="4">
        <f t="shared" si="2"/>
        <v>1</v>
      </c>
      <c r="F26" s="4">
        <f>COUNTIFS('Java vs Python'!$B$2:$B$190,A26,'Java vs Python'!$E$2:$E$190,"NA*")</f>
        <v>0</v>
      </c>
      <c r="G26" s="4">
        <f>COUNTIFS('Java vs Python'!$B$2:$B$190,A26,'Java vs Python'!$H$2:$H$190,"NA*")</f>
        <v>0</v>
      </c>
      <c r="H26" s="4">
        <f>COUNTIFS('Java vs Python'!$B$2:$B$190,A26,'Java vs Python'!$K$2:$K$190,"Done")</f>
        <v>0</v>
      </c>
      <c r="I26" s="4">
        <f>COUNTIFS('Java vs Python'!$B$2:$B$190,A26,'Java vs Python'!$K$2:$K$190,"In Progress")</f>
        <v>0</v>
      </c>
      <c r="J26" s="5">
        <f t="shared" si="3"/>
        <v>0</v>
      </c>
    </row>
    <row r="27" spans="1:10" x14ac:dyDescent="0.3">
      <c r="A27" s="3" t="s">
        <v>34</v>
      </c>
      <c r="B27" s="4">
        <f>COUNTIF('Java vs Python'!$B$2:$B$190,A27)</f>
        <v>1</v>
      </c>
      <c r="C27" s="4">
        <f t="shared" si="0"/>
        <v>1</v>
      </c>
      <c r="D27" s="4">
        <f t="shared" si="1"/>
        <v>1</v>
      </c>
      <c r="E27" s="4">
        <f t="shared" si="2"/>
        <v>1</v>
      </c>
      <c r="F27" s="4">
        <f>COUNTIFS('Java vs Python'!$B$2:$B$190,A27,'Java vs Python'!$E$2:$E$190,"NA*")</f>
        <v>0</v>
      </c>
      <c r="G27" s="4">
        <f>COUNTIFS('Java vs Python'!$B$2:$B$190,A27,'Java vs Python'!$H$2:$H$190,"NA*")</f>
        <v>0</v>
      </c>
      <c r="H27" s="4">
        <f>COUNTIFS('Java vs Python'!$B$2:$B$190,A27,'Java vs Python'!$K$2:$K$190,"Done")</f>
        <v>0</v>
      </c>
      <c r="I27" s="4">
        <f>COUNTIFS('Java vs Python'!$B$2:$B$190,A27,'Java vs Python'!$K$2:$K$190,"In Progress")</f>
        <v>0</v>
      </c>
      <c r="J27" s="5">
        <f t="shared" si="3"/>
        <v>0</v>
      </c>
    </row>
    <row r="28" spans="1:10" x14ac:dyDescent="0.3">
      <c r="A28" s="3" t="s">
        <v>35</v>
      </c>
      <c r="B28" s="4">
        <f>COUNTIF('Java vs Python'!$B$2:$B$190,A28)</f>
        <v>6</v>
      </c>
      <c r="C28" s="4">
        <f t="shared" si="0"/>
        <v>0</v>
      </c>
      <c r="D28" s="4">
        <f t="shared" si="1"/>
        <v>6</v>
      </c>
      <c r="E28" s="4">
        <f t="shared" si="2"/>
        <v>0</v>
      </c>
      <c r="F28" s="4">
        <f>COUNTIFS('Java vs Python'!$B$2:$B$190,A28,'Java vs Python'!$E$2:$E$190,"NA*")</f>
        <v>6</v>
      </c>
      <c r="G28" s="4">
        <f>COUNTIFS('Java vs Python'!$B$2:$B$190,A28,'Java vs Python'!$H$2:$H$190,"NA*")</f>
        <v>0</v>
      </c>
      <c r="H28" s="4">
        <f>COUNTIFS('Java vs Python'!$B$2:$B$190,A28,'Java vs Python'!$K$2:$K$190,"Done")</f>
        <v>0</v>
      </c>
      <c r="I28" s="4">
        <f>COUNTIFS('Java vs Python'!$B$2:$B$190,A28,'Java vs Python'!$K$2:$K$190,"In Progress")</f>
        <v>0</v>
      </c>
      <c r="J28" s="5">
        <f t="shared" si="3"/>
        <v>0</v>
      </c>
    </row>
    <row r="29" spans="1:10" x14ac:dyDescent="0.3">
      <c r="A29" s="3" t="s">
        <v>36</v>
      </c>
      <c r="B29" s="4">
        <f>COUNTIF('Java vs Python'!$B$2:$B$190,A29)</f>
        <v>4</v>
      </c>
      <c r="C29" s="4">
        <f t="shared" si="0"/>
        <v>1</v>
      </c>
      <c r="D29" s="4">
        <f t="shared" si="1"/>
        <v>3</v>
      </c>
      <c r="E29" s="4">
        <f t="shared" si="2"/>
        <v>0</v>
      </c>
      <c r="F29" s="4">
        <f>COUNTIFS('Java vs Python'!$B$2:$B$190,A29,'Java vs Python'!$E$2:$E$190,"NA*")</f>
        <v>3</v>
      </c>
      <c r="G29" s="4">
        <f>COUNTIFS('Java vs Python'!$B$2:$B$190,A29,'Java vs Python'!$H$2:$H$190,"NA*")</f>
        <v>1</v>
      </c>
      <c r="H29" s="4">
        <f>COUNTIFS('Java vs Python'!$B$2:$B$190,A29,'Java vs Python'!$K$2:$K$190,"Done")</f>
        <v>0</v>
      </c>
      <c r="I29" s="4">
        <f>COUNTIFS('Java vs Python'!$B$2:$B$190,A29,'Java vs Python'!$K$2:$K$190,"In Progress")</f>
        <v>0</v>
      </c>
      <c r="J29" s="5">
        <f t="shared" si="3"/>
        <v>0</v>
      </c>
    </row>
    <row r="30" spans="1:10" x14ac:dyDescent="0.3">
      <c r="A30" s="3" t="s">
        <v>37</v>
      </c>
      <c r="B30" s="4">
        <f>COUNTIF('Java vs Python'!$B$2:$B$190,A30)</f>
        <v>1</v>
      </c>
      <c r="C30" s="4">
        <f t="shared" si="0"/>
        <v>1</v>
      </c>
      <c r="D30" s="4">
        <f t="shared" si="1"/>
        <v>1</v>
      </c>
      <c r="E30" s="4">
        <f t="shared" si="2"/>
        <v>1</v>
      </c>
      <c r="F30" s="4">
        <f>COUNTIFS('Java vs Python'!$B$2:$B$190,A30,'Java vs Python'!$E$2:$E$190,"NA*")</f>
        <v>0</v>
      </c>
      <c r="G30" s="4">
        <f>COUNTIFS('Java vs Python'!$B$2:$B$190,A30,'Java vs Python'!$H$2:$H$190,"NA*")</f>
        <v>0</v>
      </c>
      <c r="H30" s="4">
        <f>COUNTIFS('Java vs Python'!$B$2:$B$190,A30,'Java vs Python'!$K$2:$K$190,"Done")</f>
        <v>0</v>
      </c>
      <c r="I30" s="4">
        <f>COUNTIFS('Java vs Python'!$B$2:$B$190,A30,'Java vs Python'!$K$2:$K$190,"In Progress")</f>
        <v>0</v>
      </c>
      <c r="J30" s="5">
        <f t="shared" si="3"/>
        <v>0</v>
      </c>
    </row>
    <row r="31" spans="1:10" x14ac:dyDescent="0.3">
      <c r="A31" s="3" t="s">
        <v>38</v>
      </c>
      <c r="B31" s="4">
        <f>COUNTIF('Java vs Python'!$B$2:$B$190,A31)</f>
        <v>6</v>
      </c>
      <c r="C31" s="4">
        <f t="shared" si="0"/>
        <v>3</v>
      </c>
      <c r="D31" s="4">
        <f t="shared" si="1"/>
        <v>6</v>
      </c>
      <c r="E31" s="4">
        <f t="shared" si="2"/>
        <v>3</v>
      </c>
      <c r="F31" s="4">
        <f>COUNTIFS('Java vs Python'!$B$2:$B$190,A31,'Java vs Python'!$E$2:$E$190,"NA*")</f>
        <v>3</v>
      </c>
      <c r="G31" s="4">
        <f>COUNTIFS('Java vs Python'!$B$2:$B$190,A31,'Java vs Python'!$H$2:$H$190,"NA*")</f>
        <v>0</v>
      </c>
      <c r="H31" s="4">
        <f>COUNTIFS('Java vs Python'!$B$2:$B$190,A31,'Java vs Python'!$K$2:$K$190,"Done")</f>
        <v>0</v>
      </c>
      <c r="I31" s="4">
        <f>COUNTIFS('Java vs Python'!$B$2:$B$190,A31,'Java vs Python'!$K$2:$K$190,"In Progress")</f>
        <v>0</v>
      </c>
      <c r="J31" s="5">
        <f t="shared" si="3"/>
        <v>0</v>
      </c>
    </row>
    <row r="32" spans="1:10" x14ac:dyDescent="0.3">
      <c r="A32" s="3" t="s">
        <v>39</v>
      </c>
      <c r="B32" s="4">
        <f>COUNTIF('Java vs Python'!$B$2:$B$190,A32)</f>
        <v>4</v>
      </c>
      <c r="C32" s="4">
        <f t="shared" si="0"/>
        <v>4</v>
      </c>
      <c r="D32" s="4">
        <f t="shared" si="1"/>
        <v>4</v>
      </c>
      <c r="E32" s="4">
        <f t="shared" si="2"/>
        <v>4</v>
      </c>
      <c r="F32" s="4">
        <f>COUNTIFS('Java vs Python'!$B$2:$B$190,A32,'Java vs Python'!$E$2:$E$190,"NA*")</f>
        <v>0</v>
      </c>
      <c r="G32" s="4">
        <f>COUNTIFS('Java vs Python'!$B$2:$B$190,A32,'Java vs Python'!$H$2:$H$190,"NA*")</f>
        <v>0</v>
      </c>
      <c r="H32" s="4">
        <f>COUNTIFS('Java vs Python'!$B$2:$B$190,A32,'Java vs Python'!$K$2:$K$190,"Done")</f>
        <v>0</v>
      </c>
      <c r="I32" s="4">
        <f>COUNTIFS('Java vs Python'!$B$2:$B$190,A32,'Java vs Python'!$K$2:$K$190,"In Progress")</f>
        <v>0</v>
      </c>
      <c r="J32" s="5">
        <f t="shared" si="3"/>
        <v>0</v>
      </c>
    </row>
    <row r="33" spans="1:10" x14ac:dyDescent="0.3">
      <c r="A33" s="3" t="s">
        <v>40</v>
      </c>
      <c r="B33" s="4">
        <f>COUNTIF('Java vs Python'!$B$2:$B$190,A33)</f>
        <v>3</v>
      </c>
      <c r="C33" s="4">
        <f t="shared" si="0"/>
        <v>2</v>
      </c>
      <c r="D33" s="4">
        <f t="shared" si="1"/>
        <v>3</v>
      </c>
      <c r="E33" s="4">
        <f t="shared" si="2"/>
        <v>2</v>
      </c>
      <c r="F33" s="4">
        <f>COUNTIFS('Java vs Python'!$B$2:$B$190,A33,'Java vs Python'!$E$2:$E$190,"NA*")</f>
        <v>1</v>
      </c>
      <c r="G33" s="4">
        <f>COUNTIFS('Java vs Python'!$B$2:$B$190,A33,'Java vs Python'!$H$2:$H$190,"NA*")</f>
        <v>0</v>
      </c>
      <c r="H33" s="4">
        <f>COUNTIFS('Java vs Python'!$B$2:$B$190,A33,'Java vs Python'!$K$2:$K$190,"Done")</f>
        <v>0</v>
      </c>
      <c r="I33" s="4">
        <f>COUNTIFS('Java vs Python'!$B$2:$B$190,A33,'Java vs Python'!$K$2:$K$190,"In Progress")</f>
        <v>0</v>
      </c>
      <c r="J33" s="5">
        <f t="shared" si="3"/>
        <v>0</v>
      </c>
    </row>
    <row r="34" spans="1:10" x14ac:dyDescent="0.3">
      <c r="A34" s="3" t="s">
        <v>41</v>
      </c>
      <c r="B34" s="4">
        <f>COUNTIF('Java vs Python'!$B$2:$B$190,A34)</f>
        <v>2</v>
      </c>
      <c r="C34" s="4">
        <f t="shared" si="0"/>
        <v>2</v>
      </c>
      <c r="D34" s="4">
        <f t="shared" si="1"/>
        <v>2</v>
      </c>
      <c r="E34" s="4">
        <f t="shared" si="2"/>
        <v>2</v>
      </c>
      <c r="F34" s="4">
        <f>COUNTIFS('Java vs Python'!$B$2:$B$190,A34,'Java vs Python'!$E$2:$E$190,"NA*")</f>
        <v>0</v>
      </c>
      <c r="G34" s="4">
        <f>COUNTIFS('Java vs Python'!$B$2:$B$190,A34,'Java vs Python'!$H$2:$H$190,"NA*")</f>
        <v>0</v>
      </c>
      <c r="H34" s="4">
        <f>COUNTIFS('Java vs Python'!$B$2:$B$190,A34,'Java vs Python'!$K$2:$K$190,"Done")</f>
        <v>0</v>
      </c>
      <c r="I34" s="4">
        <f>COUNTIFS('Java vs Python'!$B$2:$B$190,A34,'Java vs Python'!$K$2:$K$190,"In Progress")</f>
        <v>0</v>
      </c>
      <c r="J34" s="5">
        <f t="shared" si="3"/>
        <v>0</v>
      </c>
    </row>
    <row r="35" spans="1:10" x14ac:dyDescent="0.3">
      <c r="A35" s="3" t="s">
        <v>42</v>
      </c>
      <c r="B35" s="4">
        <f>COUNTIF('Java vs Python'!$B$2:$B$190,A35)</f>
        <v>11</v>
      </c>
      <c r="C35" s="4">
        <f t="shared" si="0"/>
        <v>10</v>
      </c>
      <c r="D35" s="4">
        <f t="shared" si="1"/>
        <v>10</v>
      </c>
      <c r="E35" s="4">
        <f t="shared" si="2"/>
        <v>9</v>
      </c>
      <c r="F35" s="4">
        <f>COUNTIFS('Java vs Python'!$B$2:$B$190,A35,'Java vs Python'!$E$2:$E$190,"NA*")</f>
        <v>1</v>
      </c>
      <c r="G35" s="4">
        <f>COUNTIFS('Java vs Python'!$B$2:$B$190,A35,'Java vs Python'!$H$2:$H$190,"NA*")</f>
        <v>1</v>
      </c>
      <c r="H35" s="4">
        <f>COUNTIFS('Java vs Python'!$B$2:$B$190,A35,'Java vs Python'!$K$2:$K$190,"Done")</f>
        <v>0</v>
      </c>
      <c r="I35" s="4">
        <f>COUNTIFS('Java vs Python'!$B$2:$B$190,A35,'Java vs Python'!$K$2:$K$190,"In Progress")</f>
        <v>0</v>
      </c>
      <c r="J35" s="5">
        <f t="shared" si="3"/>
        <v>0</v>
      </c>
    </row>
    <row r="36" spans="1:10" x14ac:dyDescent="0.3">
      <c r="A36" s="3" t="s">
        <v>43</v>
      </c>
      <c r="B36" s="4">
        <f>COUNTIF('Java vs Python'!$B$2:$B$190,A36)</f>
        <v>2</v>
      </c>
      <c r="C36" s="4">
        <f t="shared" si="0"/>
        <v>2</v>
      </c>
      <c r="D36" s="4">
        <f t="shared" si="1"/>
        <v>2</v>
      </c>
      <c r="E36" s="4">
        <f t="shared" si="2"/>
        <v>2</v>
      </c>
      <c r="F36" s="4">
        <f>COUNTIFS('Java vs Python'!$B$2:$B$190,A36,'Java vs Python'!$E$2:$E$190,"NA*")</f>
        <v>0</v>
      </c>
      <c r="G36" s="4">
        <f>COUNTIFS('Java vs Python'!$B$2:$B$190,A36,'Java vs Python'!$H$2:$H$190,"NA*")</f>
        <v>0</v>
      </c>
      <c r="H36" s="4">
        <f>COUNTIFS('Java vs Python'!$B$2:$B$190,A36,'Java vs Python'!$K$2:$K$190,"Done")</f>
        <v>0</v>
      </c>
      <c r="I36" s="4">
        <f>COUNTIFS('Java vs Python'!$B$2:$B$190,A36,'Java vs Python'!$K$2:$K$190,"In Progress")</f>
        <v>0</v>
      </c>
      <c r="J36" s="5">
        <f t="shared" si="3"/>
        <v>0</v>
      </c>
    </row>
    <row r="37" spans="1:10" x14ac:dyDescent="0.3">
      <c r="A37" s="3" t="s">
        <v>44</v>
      </c>
      <c r="B37" s="4">
        <f>COUNTIF('Java vs Python'!$B$2:$B$190,A37)</f>
        <v>5</v>
      </c>
      <c r="C37" s="4">
        <f t="shared" si="0"/>
        <v>5</v>
      </c>
      <c r="D37" s="4">
        <f t="shared" si="1"/>
        <v>5</v>
      </c>
      <c r="E37" s="4">
        <f t="shared" si="2"/>
        <v>5</v>
      </c>
      <c r="F37" s="4">
        <f>COUNTIFS('Java vs Python'!$B$2:$B$190,A37,'Java vs Python'!$E$2:$E$190,"NA*")</f>
        <v>0</v>
      </c>
      <c r="G37" s="4">
        <f>COUNTIFS('Java vs Python'!$B$2:$B$190,A37,'Java vs Python'!$H$2:$H$190,"NA*")</f>
        <v>0</v>
      </c>
      <c r="H37" s="4">
        <f>COUNTIFS('Java vs Python'!$B$2:$B$190,A37,'Java vs Python'!$K$2:$K$190,"Done")</f>
        <v>0</v>
      </c>
      <c r="I37" s="4">
        <f>COUNTIFS('Java vs Python'!$B$2:$B$190,A37,'Java vs Python'!$K$2:$K$190,"In Progress")</f>
        <v>0</v>
      </c>
      <c r="J37" s="5">
        <f t="shared" si="3"/>
        <v>0</v>
      </c>
    </row>
    <row r="38" spans="1:10" x14ac:dyDescent="0.3">
      <c r="A38" s="3" t="s">
        <v>45</v>
      </c>
      <c r="B38" s="4">
        <f>COUNTIF('Java vs Python'!$B$2:$B$190,A38)</f>
        <v>1</v>
      </c>
      <c r="C38" s="4">
        <f t="shared" si="0"/>
        <v>1</v>
      </c>
      <c r="D38" s="4">
        <f t="shared" si="1"/>
        <v>1</v>
      </c>
      <c r="E38" s="4">
        <f t="shared" si="2"/>
        <v>1</v>
      </c>
      <c r="F38" s="4">
        <f>COUNTIFS('Java vs Python'!$B$2:$B$190,A38,'Java vs Python'!$E$2:$E$190,"NA*")</f>
        <v>0</v>
      </c>
      <c r="G38" s="4">
        <f>COUNTIFS('Java vs Python'!$B$2:$B$190,A38,'Java vs Python'!$H$2:$H$190,"NA*")</f>
        <v>0</v>
      </c>
      <c r="H38" s="4">
        <f>COUNTIFS('Java vs Python'!$B$2:$B$190,A38,'Java vs Python'!$K$2:$K$190,"Done")</f>
        <v>0</v>
      </c>
      <c r="I38" s="4">
        <f>COUNTIFS('Java vs Python'!$B$2:$B$190,A38,'Java vs Python'!$K$2:$K$190,"In Progress")</f>
        <v>0</v>
      </c>
      <c r="J38" s="5">
        <f t="shared" si="3"/>
        <v>0</v>
      </c>
    </row>
    <row r="39" spans="1:10" x14ac:dyDescent="0.3">
      <c r="A39" s="3" t="s">
        <v>46</v>
      </c>
      <c r="B39" s="4">
        <f>COUNTIF('Java vs Python'!$B$2:$B$190,A39)</f>
        <v>1</v>
      </c>
      <c r="C39" s="4">
        <f t="shared" si="0"/>
        <v>1</v>
      </c>
      <c r="D39" s="4">
        <f t="shared" si="1"/>
        <v>1</v>
      </c>
      <c r="E39" s="4">
        <f t="shared" si="2"/>
        <v>1</v>
      </c>
      <c r="F39" s="4">
        <f>COUNTIFS('Java vs Python'!$B$2:$B$190,A39,'Java vs Python'!$E$2:$E$190,"NA*")</f>
        <v>0</v>
      </c>
      <c r="G39" s="4">
        <f>COUNTIFS('Java vs Python'!$B$2:$B$190,A39,'Java vs Python'!$H$2:$H$190,"NA*")</f>
        <v>0</v>
      </c>
      <c r="H39" s="4">
        <f>COUNTIFS('Java vs Python'!$B$2:$B$190,A39,'Java vs Python'!$K$2:$K$190,"Done")</f>
        <v>0</v>
      </c>
      <c r="I39" s="4">
        <f>COUNTIFS('Java vs Python'!$B$2:$B$190,A39,'Java vs Python'!$K$2:$K$190,"In Progress")</f>
        <v>0</v>
      </c>
      <c r="J39" s="5">
        <f t="shared" si="3"/>
        <v>0</v>
      </c>
    </row>
    <row r="40" spans="1:10" x14ac:dyDescent="0.3">
      <c r="A40" s="6" t="s">
        <v>47</v>
      </c>
      <c r="B40" s="7">
        <f t="shared" ref="B40:I40" si="4">SUM(B4:B39)</f>
        <v>189</v>
      </c>
      <c r="C40" s="7">
        <f t="shared" si="4"/>
        <v>164</v>
      </c>
      <c r="D40" s="7">
        <f t="shared" si="4"/>
        <v>163</v>
      </c>
      <c r="E40" s="7">
        <f t="shared" si="4"/>
        <v>138</v>
      </c>
      <c r="F40" s="7">
        <f t="shared" si="4"/>
        <v>25</v>
      </c>
      <c r="G40" s="7">
        <f t="shared" si="4"/>
        <v>26</v>
      </c>
      <c r="H40" s="7">
        <f t="shared" si="4"/>
        <v>1</v>
      </c>
      <c r="I40" s="7">
        <f t="shared" si="4"/>
        <v>0</v>
      </c>
      <c r="J40" s="8">
        <f t="shared" si="3"/>
        <v>5.2910052910052907E-3</v>
      </c>
    </row>
    <row r="42" spans="1:10" ht="15.6" x14ac:dyDescent="0.3">
      <c r="A42" s="9" t="s">
        <v>48</v>
      </c>
    </row>
    <row r="43" spans="1:10" x14ac:dyDescent="0.3">
      <c r="A43" s="10" t="s">
        <v>49</v>
      </c>
      <c r="B43" s="10" t="s">
        <v>50</v>
      </c>
      <c r="C43" s="10" t="s">
        <v>2</v>
      </c>
      <c r="D43" s="10" t="s">
        <v>8</v>
      </c>
      <c r="E43" s="10" t="s">
        <v>9</v>
      </c>
      <c r="F43" s="10" t="s">
        <v>10</v>
      </c>
    </row>
    <row r="44" spans="1:10" x14ac:dyDescent="0.3">
      <c r="A44" s="4" t="s">
        <v>51</v>
      </c>
      <c r="B44" s="3" t="s">
        <v>52</v>
      </c>
      <c r="C44" s="4">
        <f>COUNTIF('Java vs Python'!$C$2:$C$190,A44)</f>
        <v>53</v>
      </c>
      <c r="D44" s="4">
        <f>COUNTIFS('Java vs Python'!$C$2:$C$190,A44,'Java vs Python'!$K$2:$K$190,"Done")</f>
        <v>1</v>
      </c>
      <c r="E44" s="4">
        <f>COUNTIFS('Java vs Python'!$C$2:$C$190,A44,'Java vs Python'!$K$2:$K$190,"In Progress")</f>
        <v>0</v>
      </c>
      <c r="F44" s="5">
        <f>IF(C44=0,0,D44/C44)</f>
        <v>1.8867924528301886E-2</v>
      </c>
    </row>
    <row r="45" spans="1:10" x14ac:dyDescent="0.3">
      <c r="A45" s="4" t="s">
        <v>53</v>
      </c>
      <c r="B45" s="3" t="s">
        <v>54</v>
      </c>
      <c r="C45" s="4">
        <f>COUNTIF('Java vs Python'!$C$2:$C$190,A45)</f>
        <v>75</v>
      </c>
      <c r="D45" s="4">
        <f>COUNTIFS('Java vs Python'!$C$2:$C$190,A45,'Java vs Python'!$K$2:$K$190,"Done")</f>
        <v>0</v>
      </c>
      <c r="E45" s="4">
        <f>COUNTIFS('Java vs Python'!$C$2:$C$190,A45,'Java vs Python'!$K$2:$K$190,"In Progress")</f>
        <v>0</v>
      </c>
      <c r="F45" s="5">
        <f>IF(C45=0,0,D45/C45)</f>
        <v>0</v>
      </c>
    </row>
    <row r="46" spans="1:10" x14ac:dyDescent="0.3">
      <c r="A46" s="4" t="s">
        <v>55</v>
      </c>
      <c r="B46" s="3" t="s">
        <v>56</v>
      </c>
      <c r="C46" s="4">
        <f>COUNTIF('Java vs Python'!$C$2:$C$190,A46)</f>
        <v>61</v>
      </c>
      <c r="D46" s="4">
        <f>COUNTIFS('Java vs Python'!$C$2:$C$190,A46,'Java vs Python'!$K$2:$K$190,"Done")</f>
        <v>0</v>
      </c>
      <c r="E46" s="4">
        <f>COUNTIFS('Java vs Python'!$C$2:$C$190,A46,'Java vs Python'!$K$2:$K$190,"In Progress")</f>
        <v>0</v>
      </c>
      <c r="F46" s="5">
        <f>IF(C46=0,0,D46/C46)</f>
        <v>0</v>
      </c>
    </row>
    <row r="49" spans="1:1" x14ac:dyDescent="0.3">
      <c r="A49" s="11" t="s">
        <v>57</v>
      </c>
    </row>
    <row r="50" spans="1:1" x14ac:dyDescent="0.3">
      <c r="A50" s="11" t="s">
        <v>58</v>
      </c>
    </row>
    <row r="51" spans="1:1" x14ac:dyDescent="0.3">
      <c r="A51" s="11" t="s">
        <v>59</v>
      </c>
    </row>
    <row r="52" spans="1:1" x14ac:dyDescent="0.3">
      <c r="A52" s="11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90"/>
  <sheetViews>
    <sheetView tabSelected="1" zoomScaleNormal="100" workbookViewId="0">
      <pane xSplit="4" ySplit="1" topLeftCell="E134" activePane="bottomRight" state="frozen"/>
      <selection pane="topRight" activeCell="E1" sqref="E1"/>
      <selection pane="bottomLeft" activeCell="A2" sqref="A2"/>
      <selection pane="bottomRight" activeCell="D3" sqref="D3:D187"/>
    </sheetView>
  </sheetViews>
  <sheetFormatPr defaultColWidth="8.6640625" defaultRowHeight="14.4" x14ac:dyDescent="0.3"/>
  <cols>
    <col min="1" max="1" width="5" customWidth="1"/>
    <col min="2" max="2" width="16" customWidth="1"/>
    <col min="3" max="3" width="9" customWidth="1"/>
    <col min="4" max="4" width="30" customWidth="1"/>
    <col min="5" max="5" width="55.44140625" customWidth="1"/>
    <col min="6" max="6" width="62" customWidth="1"/>
    <col min="7" max="7" width="30" customWidth="1"/>
    <col min="8" max="8" width="38" customWidth="1"/>
    <col min="9" max="9" width="62" customWidth="1"/>
    <col min="10" max="10" width="40" customWidth="1"/>
    <col min="11" max="11" width="13" customWidth="1"/>
  </cols>
  <sheetData>
    <row r="1" spans="1:11" ht="30" customHeight="1" x14ac:dyDescent="0.3">
      <c r="A1" s="12" t="s">
        <v>61</v>
      </c>
      <c r="B1" s="12" t="s">
        <v>1</v>
      </c>
      <c r="C1" s="12" t="s">
        <v>49</v>
      </c>
      <c r="D1" s="13" t="s">
        <v>62</v>
      </c>
      <c r="E1" s="13" t="s">
        <v>63</v>
      </c>
      <c r="F1" s="13" t="s">
        <v>64</v>
      </c>
      <c r="G1" s="14" t="s">
        <v>65</v>
      </c>
      <c r="H1" s="14" t="s">
        <v>66</v>
      </c>
      <c r="I1" s="14" t="s">
        <v>67</v>
      </c>
      <c r="J1" s="12" t="s">
        <v>68</v>
      </c>
      <c r="K1" s="12" t="s">
        <v>69</v>
      </c>
    </row>
    <row r="2" spans="1:11" ht="52.8" hidden="1" x14ac:dyDescent="0.3">
      <c r="A2" s="15">
        <v>1</v>
      </c>
      <c r="B2" s="16" t="s">
        <v>11</v>
      </c>
      <c r="C2" s="15" t="s">
        <v>51</v>
      </c>
      <c r="D2" s="16" t="s">
        <v>70</v>
      </c>
      <c r="E2" s="16" t="s">
        <v>71</v>
      </c>
      <c r="F2" s="16" t="s">
        <v>72</v>
      </c>
      <c r="G2" s="16" t="s">
        <v>70</v>
      </c>
      <c r="H2" s="16" t="s">
        <v>73</v>
      </c>
      <c r="I2" s="16" t="s">
        <v>74</v>
      </c>
      <c r="J2" s="17" t="s">
        <v>75</v>
      </c>
      <c r="K2" s="15" t="s">
        <v>8</v>
      </c>
    </row>
    <row r="3" spans="1:11" ht="39.6" x14ac:dyDescent="0.3">
      <c r="A3" s="15">
        <v>2</v>
      </c>
      <c r="B3" s="16" t="s">
        <v>11</v>
      </c>
      <c r="C3" s="15" t="s">
        <v>51</v>
      </c>
      <c r="D3" s="16" t="s">
        <v>77</v>
      </c>
      <c r="E3" s="16" t="s">
        <v>78</v>
      </c>
      <c r="F3" s="16" t="s">
        <v>79</v>
      </c>
      <c r="G3" s="16" t="s">
        <v>80</v>
      </c>
      <c r="H3" s="16" t="s">
        <v>81</v>
      </c>
      <c r="I3" s="16" t="s">
        <v>82</v>
      </c>
      <c r="J3" s="17" t="s">
        <v>83</v>
      </c>
      <c r="K3" s="15" t="s">
        <v>76</v>
      </c>
    </row>
    <row r="4" spans="1:11" ht="52.8" x14ac:dyDescent="0.3">
      <c r="A4" s="15">
        <v>3</v>
      </c>
      <c r="B4" s="16" t="s">
        <v>11</v>
      </c>
      <c r="C4" s="15" t="s">
        <v>51</v>
      </c>
      <c r="D4" s="16" t="s">
        <v>84</v>
      </c>
      <c r="E4" s="16" t="s">
        <v>85</v>
      </c>
      <c r="F4" s="16" t="s">
        <v>86</v>
      </c>
      <c r="G4" s="16" t="s">
        <v>87</v>
      </c>
      <c r="H4" s="16" t="s">
        <v>88</v>
      </c>
      <c r="I4" s="16" t="s">
        <v>89</v>
      </c>
      <c r="J4" s="17" t="s">
        <v>90</v>
      </c>
      <c r="K4" s="15" t="s">
        <v>76</v>
      </c>
    </row>
    <row r="5" spans="1:11" ht="39.6" x14ac:dyDescent="0.3">
      <c r="A5" s="15">
        <v>4</v>
      </c>
      <c r="B5" s="16" t="s">
        <v>11</v>
      </c>
      <c r="C5" s="15" t="s">
        <v>51</v>
      </c>
      <c r="D5" s="16" t="s">
        <v>91</v>
      </c>
      <c r="E5" s="16" t="s">
        <v>92</v>
      </c>
      <c r="F5" s="16" t="s">
        <v>93</v>
      </c>
      <c r="G5" s="16" t="s">
        <v>94</v>
      </c>
      <c r="H5" s="16" t="s">
        <v>95</v>
      </c>
      <c r="I5" s="16" t="s">
        <v>96</v>
      </c>
      <c r="J5" s="17" t="s">
        <v>97</v>
      </c>
      <c r="K5" s="15" t="s">
        <v>76</v>
      </c>
    </row>
    <row r="6" spans="1:11" ht="26.4" x14ac:dyDescent="0.3">
      <c r="A6" s="15">
        <v>5</v>
      </c>
      <c r="B6" s="16" t="s">
        <v>11</v>
      </c>
      <c r="C6" s="15" t="s">
        <v>51</v>
      </c>
      <c r="D6" s="16" t="s">
        <v>98</v>
      </c>
      <c r="E6" s="16" t="s">
        <v>99</v>
      </c>
      <c r="F6" s="16" t="s">
        <v>100</v>
      </c>
      <c r="G6" s="16" t="s">
        <v>101</v>
      </c>
      <c r="H6" s="16" t="s">
        <v>102</v>
      </c>
      <c r="I6" s="16" t="s">
        <v>103</v>
      </c>
      <c r="J6" s="17" t="s">
        <v>104</v>
      </c>
      <c r="K6" s="15" t="s">
        <v>76</v>
      </c>
    </row>
    <row r="7" spans="1:11" ht="52.8" x14ac:dyDescent="0.3">
      <c r="A7" s="15">
        <v>6</v>
      </c>
      <c r="B7" s="16" t="s">
        <v>11</v>
      </c>
      <c r="C7" s="15" t="s">
        <v>51</v>
      </c>
      <c r="D7" s="16" t="s">
        <v>105</v>
      </c>
      <c r="E7" s="16" t="s">
        <v>106</v>
      </c>
      <c r="F7" s="16" t="s">
        <v>107</v>
      </c>
      <c r="G7" s="16" t="s">
        <v>105</v>
      </c>
      <c r="H7" s="16" t="s">
        <v>108</v>
      </c>
      <c r="I7" s="16" t="s">
        <v>109</v>
      </c>
      <c r="J7" s="17" t="s">
        <v>110</v>
      </c>
      <c r="K7" s="15" t="s">
        <v>76</v>
      </c>
    </row>
    <row r="8" spans="1:11" ht="39.6" hidden="1" x14ac:dyDescent="0.3">
      <c r="A8" s="15">
        <v>7</v>
      </c>
      <c r="B8" s="16" t="s">
        <v>11</v>
      </c>
      <c r="C8" s="15" t="s">
        <v>53</v>
      </c>
      <c r="D8" s="16" t="s">
        <v>111</v>
      </c>
      <c r="E8" s="16" t="s">
        <v>112</v>
      </c>
      <c r="F8" s="16" t="s">
        <v>113</v>
      </c>
      <c r="G8" s="16" t="s">
        <v>114</v>
      </c>
      <c r="H8" s="16" t="s">
        <v>115</v>
      </c>
      <c r="I8" s="16" t="s">
        <v>116</v>
      </c>
      <c r="J8" s="17" t="s">
        <v>117</v>
      </c>
      <c r="K8" s="15" t="s">
        <v>76</v>
      </c>
    </row>
    <row r="9" spans="1:11" ht="39.6" hidden="1" x14ac:dyDescent="0.3">
      <c r="A9" s="15">
        <v>8</v>
      </c>
      <c r="B9" s="16" t="s">
        <v>11</v>
      </c>
      <c r="C9" s="15" t="s">
        <v>53</v>
      </c>
      <c r="D9" s="16" t="s">
        <v>118</v>
      </c>
      <c r="E9" s="16" t="s">
        <v>119</v>
      </c>
      <c r="F9" s="16" t="s">
        <v>120</v>
      </c>
      <c r="G9" s="16" t="s">
        <v>121</v>
      </c>
      <c r="H9" s="16" t="s">
        <v>122</v>
      </c>
      <c r="I9" s="16" t="s">
        <v>123</v>
      </c>
      <c r="J9" s="17" t="s">
        <v>124</v>
      </c>
      <c r="K9" s="15" t="s">
        <v>76</v>
      </c>
    </row>
    <row r="10" spans="1:11" ht="52.8" hidden="1" x14ac:dyDescent="0.3">
      <c r="A10" s="15">
        <v>9</v>
      </c>
      <c r="B10" s="16" t="s">
        <v>11</v>
      </c>
      <c r="C10" s="15" t="s">
        <v>53</v>
      </c>
      <c r="D10" s="18" t="s">
        <v>125</v>
      </c>
      <c r="E10" s="18" t="s">
        <v>125</v>
      </c>
      <c r="F10" s="18" t="s">
        <v>125</v>
      </c>
      <c r="G10" s="16" t="s">
        <v>126</v>
      </c>
      <c r="H10" s="16" t="s">
        <v>127</v>
      </c>
      <c r="I10" s="16" t="s">
        <v>128</v>
      </c>
      <c r="J10" s="17" t="s">
        <v>129</v>
      </c>
      <c r="K10" s="15" t="s">
        <v>76</v>
      </c>
    </row>
    <row r="11" spans="1:11" ht="39.6" hidden="1" x14ac:dyDescent="0.3">
      <c r="A11" s="15">
        <v>10</v>
      </c>
      <c r="B11" s="16" t="s">
        <v>11</v>
      </c>
      <c r="C11" s="15" t="s">
        <v>55</v>
      </c>
      <c r="D11" s="16" t="s">
        <v>130</v>
      </c>
      <c r="E11" s="16" t="s">
        <v>131</v>
      </c>
      <c r="F11" s="16" t="s">
        <v>132</v>
      </c>
      <c r="G11" s="16" t="s">
        <v>133</v>
      </c>
      <c r="H11" s="16" t="s">
        <v>134</v>
      </c>
      <c r="I11" s="16" t="s">
        <v>135</v>
      </c>
      <c r="J11" s="17" t="s">
        <v>136</v>
      </c>
      <c r="K11" s="15" t="s">
        <v>76</v>
      </c>
    </row>
    <row r="12" spans="1:11" ht="39.6" hidden="1" x14ac:dyDescent="0.3">
      <c r="A12" s="15">
        <v>11</v>
      </c>
      <c r="B12" s="16" t="s">
        <v>11</v>
      </c>
      <c r="C12" s="15" t="s">
        <v>55</v>
      </c>
      <c r="D12" s="16" t="s">
        <v>137</v>
      </c>
      <c r="E12" s="16" t="s">
        <v>138</v>
      </c>
      <c r="F12" s="16" t="s">
        <v>139</v>
      </c>
      <c r="G12" s="16" t="s">
        <v>140</v>
      </c>
      <c r="H12" s="16" t="s">
        <v>141</v>
      </c>
      <c r="I12" s="16" t="s">
        <v>142</v>
      </c>
      <c r="J12" s="17" t="s">
        <v>143</v>
      </c>
      <c r="K12" s="15" t="s">
        <v>76</v>
      </c>
    </row>
    <row r="13" spans="1:11" ht="39.6" hidden="1" x14ac:dyDescent="0.3">
      <c r="A13" s="15">
        <v>12</v>
      </c>
      <c r="B13" s="16" t="s">
        <v>11</v>
      </c>
      <c r="C13" s="15" t="s">
        <v>55</v>
      </c>
      <c r="D13" s="16" t="s">
        <v>144</v>
      </c>
      <c r="E13" s="16" t="s">
        <v>145</v>
      </c>
      <c r="F13" s="16" t="s">
        <v>146</v>
      </c>
      <c r="G13" s="16" t="s">
        <v>144</v>
      </c>
      <c r="H13" s="16" t="s">
        <v>147</v>
      </c>
      <c r="I13" s="16" t="s">
        <v>148</v>
      </c>
      <c r="J13" s="17" t="s">
        <v>149</v>
      </c>
      <c r="K13" s="15" t="s">
        <v>76</v>
      </c>
    </row>
    <row r="14" spans="1:11" ht="26.4" hidden="1" x14ac:dyDescent="0.3">
      <c r="A14" s="15">
        <v>13</v>
      </c>
      <c r="B14" s="16" t="s">
        <v>11</v>
      </c>
      <c r="C14" s="15" t="s">
        <v>55</v>
      </c>
      <c r="D14" s="16" t="s">
        <v>150</v>
      </c>
      <c r="E14" s="16" t="s">
        <v>151</v>
      </c>
      <c r="F14" s="16" t="s">
        <v>152</v>
      </c>
      <c r="G14" s="16" t="s">
        <v>153</v>
      </c>
      <c r="H14" s="16" t="s">
        <v>154</v>
      </c>
      <c r="I14" s="16" t="s">
        <v>155</v>
      </c>
      <c r="J14" s="17" t="s">
        <v>156</v>
      </c>
      <c r="K14" s="15" t="s">
        <v>76</v>
      </c>
    </row>
    <row r="15" spans="1:11" ht="39.6" x14ac:dyDescent="0.3">
      <c r="A15" s="15">
        <v>14</v>
      </c>
      <c r="B15" s="16" t="s">
        <v>12</v>
      </c>
      <c r="C15" s="15" t="s">
        <v>51</v>
      </c>
      <c r="D15" s="16" t="s">
        <v>157</v>
      </c>
      <c r="E15" s="16" t="s">
        <v>158</v>
      </c>
      <c r="F15" s="16" t="s">
        <v>159</v>
      </c>
      <c r="G15" s="16" t="s">
        <v>160</v>
      </c>
      <c r="H15" s="16" t="s">
        <v>161</v>
      </c>
      <c r="I15" s="16" t="s">
        <v>162</v>
      </c>
      <c r="J15" s="17" t="s">
        <v>163</v>
      </c>
      <c r="K15" s="15" t="s">
        <v>76</v>
      </c>
    </row>
    <row r="16" spans="1:11" ht="39.6" x14ac:dyDescent="0.3">
      <c r="A16" s="15">
        <v>15</v>
      </c>
      <c r="B16" s="16" t="s">
        <v>12</v>
      </c>
      <c r="C16" s="15" t="s">
        <v>51</v>
      </c>
      <c r="D16" s="16" t="s">
        <v>164</v>
      </c>
      <c r="E16" s="16" t="s">
        <v>165</v>
      </c>
      <c r="F16" s="16" t="s">
        <v>166</v>
      </c>
      <c r="G16" s="16" t="s">
        <v>167</v>
      </c>
      <c r="H16" s="16" t="s">
        <v>168</v>
      </c>
      <c r="I16" s="16" t="s">
        <v>169</v>
      </c>
      <c r="J16" s="17" t="s">
        <v>170</v>
      </c>
      <c r="K16" s="15" t="s">
        <v>76</v>
      </c>
    </row>
    <row r="17" spans="1:11" ht="39.6" hidden="1" x14ac:dyDescent="0.3">
      <c r="A17" s="15">
        <v>16</v>
      </c>
      <c r="B17" s="16" t="s">
        <v>12</v>
      </c>
      <c r="C17" s="15" t="s">
        <v>53</v>
      </c>
      <c r="D17" s="16" t="s">
        <v>171</v>
      </c>
      <c r="E17" s="16" t="s">
        <v>172</v>
      </c>
      <c r="F17" s="16" t="s">
        <v>173</v>
      </c>
      <c r="G17" s="16" t="s">
        <v>174</v>
      </c>
      <c r="H17" s="16" t="s">
        <v>175</v>
      </c>
      <c r="I17" s="16" t="s">
        <v>176</v>
      </c>
      <c r="J17" s="17" t="s">
        <v>177</v>
      </c>
      <c r="K17" s="15" t="s">
        <v>76</v>
      </c>
    </row>
    <row r="18" spans="1:11" ht="39.6" x14ac:dyDescent="0.3">
      <c r="A18" s="15">
        <v>17</v>
      </c>
      <c r="B18" s="16" t="s">
        <v>13</v>
      </c>
      <c r="C18" s="15" t="s">
        <v>51</v>
      </c>
      <c r="D18" s="16" t="s">
        <v>178</v>
      </c>
      <c r="E18" s="16" t="s">
        <v>179</v>
      </c>
      <c r="F18" s="16" t="s">
        <v>180</v>
      </c>
      <c r="G18" s="16" t="s">
        <v>181</v>
      </c>
      <c r="H18" s="16" t="s">
        <v>182</v>
      </c>
      <c r="I18" s="16" t="s">
        <v>183</v>
      </c>
      <c r="J18" s="17" t="s">
        <v>184</v>
      </c>
      <c r="K18" s="15" t="s">
        <v>76</v>
      </c>
    </row>
    <row r="19" spans="1:11" ht="39.6" x14ac:dyDescent="0.3">
      <c r="A19" s="15">
        <v>18</v>
      </c>
      <c r="B19" s="16" t="s">
        <v>13</v>
      </c>
      <c r="C19" s="15" t="s">
        <v>51</v>
      </c>
      <c r="D19" s="16" t="s">
        <v>185</v>
      </c>
      <c r="E19" s="16" t="s">
        <v>186</v>
      </c>
      <c r="F19" s="16" t="s">
        <v>187</v>
      </c>
      <c r="G19" s="16" t="s">
        <v>188</v>
      </c>
      <c r="H19" s="16" t="s">
        <v>189</v>
      </c>
      <c r="I19" s="16" t="s">
        <v>190</v>
      </c>
      <c r="J19" s="17" t="s">
        <v>191</v>
      </c>
      <c r="K19" s="15" t="s">
        <v>76</v>
      </c>
    </row>
    <row r="20" spans="1:11" ht="52.8" hidden="1" x14ac:dyDescent="0.3">
      <c r="A20" s="15">
        <v>19</v>
      </c>
      <c r="B20" s="16" t="s">
        <v>13</v>
      </c>
      <c r="C20" s="15" t="s">
        <v>53</v>
      </c>
      <c r="D20" s="16" t="s">
        <v>192</v>
      </c>
      <c r="E20" s="16" t="s">
        <v>193</v>
      </c>
      <c r="F20" s="16" t="s">
        <v>194</v>
      </c>
      <c r="G20" s="18" t="s">
        <v>125</v>
      </c>
      <c r="H20" s="18" t="s">
        <v>125</v>
      </c>
      <c r="I20" s="18" t="s">
        <v>125</v>
      </c>
      <c r="J20" s="17" t="s">
        <v>195</v>
      </c>
      <c r="K20" s="15" t="s">
        <v>76</v>
      </c>
    </row>
    <row r="21" spans="1:11" ht="39.6" hidden="1" x14ac:dyDescent="0.3">
      <c r="A21" s="15">
        <v>20</v>
      </c>
      <c r="B21" s="16" t="s">
        <v>13</v>
      </c>
      <c r="C21" s="15" t="s">
        <v>53</v>
      </c>
      <c r="D21" s="16" t="s">
        <v>196</v>
      </c>
      <c r="E21" s="16" t="s">
        <v>197</v>
      </c>
      <c r="F21" s="16" t="s">
        <v>198</v>
      </c>
      <c r="G21" s="16" t="s">
        <v>199</v>
      </c>
      <c r="H21" s="16" t="s">
        <v>200</v>
      </c>
      <c r="I21" s="16" t="s">
        <v>201</v>
      </c>
      <c r="J21" s="17" t="s">
        <v>202</v>
      </c>
      <c r="K21" s="15" t="s">
        <v>76</v>
      </c>
    </row>
    <row r="22" spans="1:11" ht="39.6" hidden="1" x14ac:dyDescent="0.3">
      <c r="A22" s="15">
        <v>21</v>
      </c>
      <c r="B22" s="16" t="s">
        <v>13</v>
      </c>
      <c r="C22" s="15" t="s">
        <v>53</v>
      </c>
      <c r="D22" s="16" t="s">
        <v>203</v>
      </c>
      <c r="E22" s="16" t="s">
        <v>204</v>
      </c>
      <c r="F22" s="16" t="s">
        <v>205</v>
      </c>
      <c r="G22" s="16" t="s">
        <v>206</v>
      </c>
      <c r="H22" s="16" t="s">
        <v>207</v>
      </c>
      <c r="I22" s="16" t="s">
        <v>208</v>
      </c>
      <c r="J22" s="17" t="s">
        <v>209</v>
      </c>
      <c r="K22" s="15" t="s">
        <v>76</v>
      </c>
    </row>
    <row r="23" spans="1:11" ht="39.6" hidden="1" x14ac:dyDescent="0.3">
      <c r="A23" s="15">
        <v>22</v>
      </c>
      <c r="B23" s="16" t="s">
        <v>13</v>
      </c>
      <c r="C23" s="15" t="s">
        <v>53</v>
      </c>
      <c r="D23" s="18" t="s">
        <v>125</v>
      </c>
      <c r="E23" s="18" t="s">
        <v>125</v>
      </c>
      <c r="F23" s="18" t="s">
        <v>125</v>
      </c>
      <c r="G23" s="16" t="s">
        <v>210</v>
      </c>
      <c r="H23" s="16" t="s">
        <v>211</v>
      </c>
      <c r="I23" s="16" t="s">
        <v>212</v>
      </c>
      <c r="J23" s="17" t="s">
        <v>213</v>
      </c>
      <c r="K23" s="15" t="s">
        <v>76</v>
      </c>
    </row>
    <row r="24" spans="1:11" ht="39.6" hidden="1" x14ac:dyDescent="0.3">
      <c r="A24" s="15">
        <v>23</v>
      </c>
      <c r="B24" s="16" t="s">
        <v>13</v>
      </c>
      <c r="C24" s="15" t="s">
        <v>55</v>
      </c>
      <c r="D24" s="16" t="s">
        <v>214</v>
      </c>
      <c r="E24" s="16" t="s">
        <v>215</v>
      </c>
      <c r="F24" s="16" t="s">
        <v>216</v>
      </c>
      <c r="G24" s="16" t="s">
        <v>217</v>
      </c>
      <c r="H24" s="16" t="s">
        <v>218</v>
      </c>
      <c r="I24" s="16" t="s">
        <v>219</v>
      </c>
      <c r="J24" s="17" t="s">
        <v>220</v>
      </c>
      <c r="K24" s="15" t="s">
        <v>76</v>
      </c>
    </row>
    <row r="25" spans="1:11" ht="39.6" x14ac:dyDescent="0.3">
      <c r="A25" s="15">
        <v>24</v>
      </c>
      <c r="B25" s="16" t="s">
        <v>14</v>
      </c>
      <c r="C25" s="15" t="s">
        <v>51</v>
      </c>
      <c r="D25" s="16" t="s">
        <v>221</v>
      </c>
      <c r="E25" s="16" t="s">
        <v>222</v>
      </c>
      <c r="F25" s="16" t="s">
        <v>223</v>
      </c>
      <c r="G25" s="16" t="s">
        <v>224</v>
      </c>
      <c r="H25" s="16" t="s">
        <v>225</v>
      </c>
      <c r="I25" s="16" t="s">
        <v>226</v>
      </c>
      <c r="J25" s="17" t="s">
        <v>227</v>
      </c>
      <c r="K25" s="15" t="s">
        <v>76</v>
      </c>
    </row>
    <row r="26" spans="1:11" ht="26.4" hidden="1" x14ac:dyDescent="0.3">
      <c r="A26" s="15">
        <v>25</v>
      </c>
      <c r="B26" s="16" t="s">
        <v>14</v>
      </c>
      <c r="C26" s="15" t="s">
        <v>53</v>
      </c>
      <c r="D26" s="16" t="s">
        <v>228</v>
      </c>
      <c r="E26" s="16" t="s">
        <v>229</v>
      </c>
      <c r="F26" s="16" t="s">
        <v>230</v>
      </c>
      <c r="G26" s="16" t="s">
        <v>231</v>
      </c>
      <c r="H26" s="16" t="s">
        <v>232</v>
      </c>
      <c r="I26" s="16" t="s">
        <v>233</v>
      </c>
      <c r="J26" s="17" t="s">
        <v>234</v>
      </c>
      <c r="K26" s="15" t="s">
        <v>76</v>
      </c>
    </row>
    <row r="27" spans="1:11" ht="26.4" x14ac:dyDescent="0.3">
      <c r="A27" s="15">
        <v>26</v>
      </c>
      <c r="B27" s="16" t="s">
        <v>15</v>
      </c>
      <c r="C27" s="15" t="s">
        <v>51</v>
      </c>
      <c r="D27" s="16" t="s">
        <v>235</v>
      </c>
      <c r="E27" s="16" t="s">
        <v>236</v>
      </c>
      <c r="F27" s="16" t="s">
        <v>237</v>
      </c>
      <c r="G27" s="16" t="s">
        <v>238</v>
      </c>
      <c r="H27" s="16" t="s">
        <v>239</v>
      </c>
      <c r="I27" s="16" t="s">
        <v>240</v>
      </c>
      <c r="J27" s="17" t="s">
        <v>241</v>
      </c>
      <c r="K27" s="15" t="s">
        <v>76</v>
      </c>
    </row>
    <row r="28" spans="1:11" ht="39.6" hidden="1" x14ac:dyDescent="0.3">
      <c r="A28" s="15">
        <v>27</v>
      </c>
      <c r="B28" s="16" t="s">
        <v>15</v>
      </c>
      <c r="C28" s="15" t="s">
        <v>55</v>
      </c>
      <c r="D28" s="16" t="s">
        <v>242</v>
      </c>
      <c r="E28" s="16" t="s">
        <v>243</v>
      </c>
      <c r="F28" s="16" t="s">
        <v>244</v>
      </c>
      <c r="G28" s="16" t="s">
        <v>245</v>
      </c>
      <c r="H28" s="16" t="s">
        <v>246</v>
      </c>
      <c r="I28" s="16" t="s">
        <v>247</v>
      </c>
      <c r="J28" s="17" t="s">
        <v>248</v>
      </c>
      <c r="K28" s="15" t="s">
        <v>76</v>
      </c>
    </row>
    <row r="29" spans="1:11" ht="26.4" x14ac:dyDescent="0.3">
      <c r="A29" s="15">
        <v>28</v>
      </c>
      <c r="B29" s="16" t="s">
        <v>16</v>
      </c>
      <c r="C29" s="15" t="s">
        <v>51</v>
      </c>
      <c r="D29" s="16" t="s">
        <v>249</v>
      </c>
      <c r="E29" s="16" t="s">
        <v>250</v>
      </c>
      <c r="F29" s="16" t="s">
        <v>251</v>
      </c>
      <c r="G29" s="16" t="s">
        <v>252</v>
      </c>
      <c r="H29" s="16" t="s">
        <v>253</v>
      </c>
      <c r="I29" s="16" t="s">
        <v>254</v>
      </c>
      <c r="J29" s="17" t="s">
        <v>255</v>
      </c>
      <c r="K29" s="15" t="s">
        <v>76</v>
      </c>
    </row>
    <row r="30" spans="1:11" ht="39.6" hidden="1" x14ac:dyDescent="0.3">
      <c r="A30" s="15">
        <v>29</v>
      </c>
      <c r="B30" s="16" t="s">
        <v>16</v>
      </c>
      <c r="C30" s="15" t="s">
        <v>53</v>
      </c>
      <c r="D30" s="16" t="s">
        <v>256</v>
      </c>
      <c r="E30" s="16" t="s">
        <v>257</v>
      </c>
      <c r="F30" s="16" t="s">
        <v>258</v>
      </c>
      <c r="G30" s="16" t="s">
        <v>259</v>
      </c>
      <c r="H30" s="16" t="s">
        <v>260</v>
      </c>
      <c r="I30" s="16" t="s">
        <v>261</v>
      </c>
      <c r="J30" s="17" t="s">
        <v>262</v>
      </c>
      <c r="K30" s="15" t="s">
        <v>76</v>
      </c>
    </row>
    <row r="31" spans="1:11" ht="26.4" x14ac:dyDescent="0.3">
      <c r="A31" s="15">
        <v>30</v>
      </c>
      <c r="B31" s="16" t="s">
        <v>17</v>
      </c>
      <c r="C31" s="15" t="s">
        <v>51</v>
      </c>
      <c r="D31" s="16" t="s">
        <v>263</v>
      </c>
      <c r="E31" s="16" t="s">
        <v>264</v>
      </c>
      <c r="F31" s="16" t="s">
        <v>265</v>
      </c>
      <c r="G31" s="16" t="s">
        <v>266</v>
      </c>
      <c r="H31" s="16" t="s">
        <v>267</v>
      </c>
      <c r="I31" s="16" t="s">
        <v>268</v>
      </c>
      <c r="J31" s="17" t="s">
        <v>269</v>
      </c>
      <c r="K31" s="15" t="s">
        <v>76</v>
      </c>
    </row>
    <row r="32" spans="1:11" ht="39.6" x14ac:dyDescent="0.3">
      <c r="A32" s="15">
        <v>31</v>
      </c>
      <c r="B32" s="16" t="s">
        <v>17</v>
      </c>
      <c r="C32" s="15" t="s">
        <v>51</v>
      </c>
      <c r="D32" s="16" t="s">
        <v>270</v>
      </c>
      <c r="E32" s="16" t="s">
        <v>271</v>
      </c>
      <c r="F32" s="16" t="s">
        <v>272</v>
      </c>
      <c r="G32" s="16" t="s">
        <v>273</v>
      </c>
      <c r="H32" s="16" t="s">
        <v>274</v>
      </c>
      <c r="I32" s="16" t="s">
        <v>275</v>
      </c>
      <c r="J32" s="17" t="s">
        <v>276</v>
      </c>
      <c r="K32" s="15" t="s">
        <v>76</v>
      </c>
    </row>
    <row r="33" spans="1:11" ht="26.4" hidden="1" x14ac:dyDescent="0.3">
      <c r="A33" s="15">
        <v>32</v>
      </c>
      <c r="B33" s="16" t="s">
        <v>17</v>
      </c>
      <c r="C33" s="15" t="s">
        <v>53</v>
      </c>
      <c r="D33" s="18" t="s">
        <v>125</v>
      </c>
      <c r="E33" s="18" t="s">
        <v>125</v>
      </c>
      <c r="F33" s="18" t="s">
        <v>125</v>
      </c>
      <c r="G33" s="16" t="s">
        <v>277</v>
      </c>
      <c r="H33" s="16" t="s">
        <v>278</v>
      </c>
      <c r="I33" s="16" t="s">
        <v>279</v>
      </c>
      <c r="J33" s="17" t="s">
        <v>280</v>
      </c>
      <c r="K33" s="15" t="s">
        <v>76</v>
      </c>
    </row>
    <row r="34" spans="1:11" ht="39.6" x14ac:dyDescent="0.3">
      <c r="A34" s="15">
        <v>33</v>
      </c>
      <c r="B34" s="16" t="s">
        <v>18</v>
      </c>
      <c r="C34" s="15" t="s">
        <v>51</v>
      </c>
      <c r="D34" s="16" t="s">
        <v>281</v>
      </c>
      <c r="E34" s="16" t="s">
        <v>282</v>
      </c>
      <c r="F34" s="16" t="s">
        <v>283</v>
      </c>
      <c r="G34" s="16" t="s">
        <v>284</v>
      </c>
      <c r="H34" s="16" t="s">
        <v>285</v>
      </c>
      <c r="I34" s="16" t="s">
        <v>286</v>
      </c>
      <c r="J34" s="17" t="s">
        <v>287</v>
      </c>
      <c r="K34" s="15" t="s">
        <v>76</v>
      </c>
    </row>
    <row r="35" spans="1:11" ht="26.4" x14ac:dyDescent="0.3">
      <c r="A35" s="15">
        <v>34</v>
      </c>
      <c r="B35" s="16" t="s">
        <v>18</v>
      </c>
      <c r="C35" s="15" t="s">
        <v>51</v>
      </c>
      <c r="D35" s="16" t="s">
        <v>288</v>
      </c>
      <c r="E35" s="16" t="s">
        <v>289</v>
      </c>
      <c r="F35" s="16" t="s">
        <v>290</v>
      </c>
      <c r="G35" s="16" t="s">
        <v>291</v>
      </c>
      <c r="H35" s="16" t="s">
        <v>292</v>
      </c>
      <c r="I35" s="16" t="s">
        <v>293</v>
      </c>
      <c r="J35" s="17" t="s">
        <v>294</v>
      </c>
      <c r="K35" s="15" t="s">
        <v>76</v>
      </c>
    </row>
    <row r="36" spans="1:11" ht="39.6" hidden="1" x14ac:dyDescent="0.3">
      <c r="A36" s="15">
        <v>35</v>
      </c>
      <c r="B36" s="16" t="s">
        <v>18</v>
      </c>
      <c r="C36" s="15" t="s">
        <v>53</v>
      </c>
      <c r="D36" s="16" t="s">
        <v>295</v>
      </c>
      <c r="E36" s="16" t="s">
        <v>296</v>
      </c>
      <c r="F36" s="16" t="s">
        <v>297</v>
      </c>
      <c r="G36" s="18" t="s">
        <v>298</v>
      </c>
      <c r="H36" s="18" t="s">
        <v>125</v>
      </c>
      <c r="I36" s="18" t="s">
        <v>125</v>
      </c>
      <c r="J36" s="17" t="s">
        <v>299</v>
      </c>
      <c r="K36" s="15" t="s">
        <v>76</v>
      </c>
    </row>
    <row r="37" spans="1:11" ht="39.6" x14ac:dyDescent="0.3">
      <c r="A37" s="15">
        <v>36</v>
      </c>
      <c r="B37" s="16" t="s">
        <v>19</v>
      </c>
      <c r="C37" s="15" t="s">
        <v>51</v>
      </c>
      <c r="D37" s="16" t="s">
        <v>300</v>
      </c>
      <c r="E37" s="16" t="s">
        <v>301</v>
      </c>
      <c r="F37" s="16" t="s">
        <v>302</v>
      </c>
      <c r="G37" s="16" t="s">
        <v>303</v>
      </c>
      <c r="H37" s="16" t="s">
        <v>304</v>
      </c>
      <c r="I37" s="16" t="s">
        <v>305</v>
      </c>
      <c r="J37" s="17" t="s">
        <v>306</v>
      </c>
      <c r="K37" s="15" t="s">
        <v>76</v>
      </c>
    </row>
    <row r="38" spans="1:11" ht="39.6" x14ac:dyDescent="0.3">
      <c r="A38" s="15">
        <v>37</v>
      </c>
      <c r="B38" s="16" t="s">
        <v>20</v>
      </c>
      <c r="C38" s="15" t="s">
        <v>51</v>
      </c>
      <c r="D38" s="16" t="s">
        <v>307</v>
      </c>
      <c r="E38" s="16" t="s">
        <v>308</v>
      </c>
      <c r="F38" s="16" t="s">
        <v>309</v>
      </c>
      <c r="G38" s="16" t="s">
        <v>310</v>
      </c>
      <c r="H38" s="16" t="s">
        <v>311</v>
      </c>
      <c r="I38" s="16" t="s">
        <v>312</v>
      </c>
      <c r="J38" s="17" t="s">
        <v>313</v>
      </c>
      <c r="K38" s="15" t="s">
        <v>76</v>
      </c>
    </row>
    <row r="39" spans="1:11" ht="39.6" hidden="1" x14ac:dyDescent="0.3">
      <c r="A39" s="15">
        <v>38</v>
      </c>
      <c r="B39" s="16" t="s">
        <v>20</v>
      </c>
      <c r="C39" s="15" t="s">
        <v>51</v>
      </c>
      <c r="D39" s="18" t="s">
        <v>125</v>
      </c>
      <c r="E39" s="18" t="s">
        <v>125</v>
      </c>
      <c r="F39" s="18" t="s">
        <v>125</v>
      </c>
      <c r="G39" s="16" t="s">
        <v>314</v>
      </c>
      <c r="H39" s="16" t="s">
        <v>315</v>
      </c>
      <c r="I39" s="16" t="s">
        <v>316</v>
      </c>
      <c r="J39" s="17" t="s">
        <v>317</v>
      </c>
      <c r="K39" s="15" t="s">
        <v>76</v>
      </c>
    </row>
    <row r="40" spans="1:11" ht="39.6" x14ac:dyDescent="0.3">
      <c r="A40" s="15">
        <v>39</v>
      </c>
      <c r="B40" s="16" t="s">
        <v>20</v>
      </c>
      <c r="C40" s="15" t="s">
        <v>51</v>
      </c>
      <c r="D40" s="16" t="s">
        <v>318</v>
      </c>
      <c r="E40" s="16" t="s">
        <v>319</v>
      </c>
      <c r="F40" s="16" t="s">
        <v>320</v>
      </c>
      <c r="G40" s="16" t="s">
        <v>321</v>
      </c>
      <c r="H40" s="16" t="s">
        <v>322</v>
      </c>
      <c r="I40" s="16" t="s">
        <v>323</v>
      </c>
      <c r="J40" s="17" t="s">
        <v>324</v>
      </c>
      <c r="K40" s="15" t="s">
        <v>76</v>
      </c>
    </row>
    <row r="41" spans="1:11" ht="52.8" x14ac:dyDescent="0.3">
      <c r="A41" s="15">
        <v>40</v>
      </c>
      <c r="B41" s="16" t="s">
        <v>20</v>
      </c>
      <c r="C41" s="15" t="s">
        <v>51</v>
      </c>
      <c r="D41" s="16" t="s">
        <v>325</v>
      </c>
      <c r="E41" s="16" t="s">
        <v>326</v>
      </c>
      <c r="F41" s="16" t="s">
        <v>327</v>
      </c>
      <c r="G41" s="16" t="s">
        <v>328</v>
      </c>
      <c r="H41" s="16" t="s">
        <v>329</v>
      </c>
      <c r="I41" s="16" t="s">
        <v>330</v>
      </c>
      <c r="J41" s="17" t="s">
        <v>331</v>
      </c>
      <c r="K41" s="15" t="s">
        <v>76</v>
      </c>
    </row>
    <row r="42" spans="1:11" ht="39.6" hidden="1" x14ac:dyDescent="0.3">
      <c r="A42" s="15">
        <v>41</v>
      </c>
      <c r="B42" s="16" t="s">
        <v>20</v>
      </c>
      <c r="C42" s="15" t="s">
        <v>53</v>
      </c>
      <c r="D42" s="16" t="s">
        <v>332</v>
      </c>
      <c r="E42" s="16" t="s">
        <v>333</v>
      </c>
      <c r="F42" s="16" t="s">
        <v>334</v>
      </c>
      <c r="G42" s="16" t="s">
        <v>335</v>
      </c>
      <c r="H42" s="16" t="s">
        <v>336</v>
      </c>
      <c r="I42" s="16" t="s">
        <v>337</v>
      </c>
      <c r="J42" s="17" t="s">
        <v>338</v>
      </c>
      <c r="K42" s="15" t="s">
        <v>76</v>
      </c>
    </row>
    <row r="43" spans="1:11" ht="39.6" hidden="1" x14ac:dyDescent="0.3">
      <c r="A43" s="15">
        <v>42</v>
      </c>
      <c r="B43" s="16" t="s">
        <v>20</v>
      </c>
      <c r="C43" s="15" t="s">
        <v>53</v>
      </c>
      <c r="D43" s="16" t="s">
        <v>339</v>
      </c>
      <c r="E43" s="16" t="s">
        <v>340</v>
      </c>
      <c r="F43" s="16" t="s">
        <v>341</v>
      </c>
      <c r="G43" s="16" t="s">
        <v>342</v>
      </c>
      <c r="H43" s="16" t="s">
        <v>343</v>
      </c>
      <c r="I43" s="16" t="s">
        <v>344</v>
      </c>
      <c r="J43" s="17" t="s">
        <v>345</v>
      </c>
      <c r="K43" s="15" t="s">
        <v>76</v>
      </c>
    </row>
    <row r="44" spans="1:11" ht="39.6" hidden="1" x14ac:dyDescent="0.3">
      <c r="A44" s="15">
        <v>43</v>
      </c>
      <c r="B44" s="16" t="s">
        <v>20</v>
      </c>
      <c r="C44" s="15" t="s">
        <v>53</v>
      </c>
      <c r="D44" s="16" t="s">
        <v>346</v>
      </c>
      <c r="E44" s="16" t="s">
        <v>347</v>
      </c>
      <c r="F44" s="16" t="s">
        <v>348</v>
      </c>
      <c r="G44" s="16" t="s">
        <v>349</v>
      </c>
      <c r="H44" s="16" t="s">
        <v>350</v>
      </c>
      <c r="I44" s="16" t="s">
        <v>351</v>
      </c>
      <c r="J44" s="17" t="s">
        <v>352</v>
      </c>
      <c r="K44" s="15" t="s">
        <v>76</v>
      </c>
    </row>
    <row r="45" spans="1:11" ht="26.4" hidden="1" x14ac:dyDescent="0.3">
      <c r="A45" s="15">
        <v>44</v>
      </c>
      <c r="B45" s="16" t="s">
        <v>20</v>
      </c>
      <c r="C45" s="15" t="s">
        <v>53</v>
      </c>
      <c r="D45" s="16" t="s">
        <v>353</v>
      </c>
      <c r="E45" s="16" t="s">
        <v>354</v>
      </c>
      <c r="F45" s="16" t="s">
        <v>355</v>
      </c>
      <c r="G45" s="16" t="s">
        <v>356</v>
      </c>
      <c r="H45" s="16" t="s">
        <v>357</v>
      </c>
      <c r="I45" s="16" t="s">
        <v>358</v>
      </c>
      <c r="J45" s="17" t="s">
        <v>359</v>
      </c>
      <c r="K45" s="15" t="s">
        <v>76</v>
      </c>
    </row>
    <row r="46" spans="1:11" ht="52.8" hidden="1" x14ac:dyDescent="0.3">
      <c r="A46" s="15">
        <v>45</v>
      </c>
      <c r="B46" s="16" t="s">
        <v>20</v>
      </c>
      <c r="C46" s="15" t="s">
        <v>53</v>
      </c>
      <c r="D46" s="16" t="s">
        <v>360</v>
      </c>
      <c r="E46" s="16" t="s">
        <v>361</v>
      </c>
      <c r="F46" s="16" t="s">
        <v>362</v>
      </c>
      <c r="G46" s="16" t="s">
        <v>363</v>
      </c>
      <c r="H46" s="16" t="s">
        <v>364</v>
      </c>
      <c r="I46" s="16" t="s">
        <v>365</v>
      </c>
      <c r="J46" s="17" t="s">
        <v>366</v>
      </c>
      <c r="K46" s="15" t="s">
        <v>76</v>
      </c>
    </row>
    <row r="47" spans="1:11" ht="52.8" hidden="1" x14ac:dyDescent="0.3">
      <c r="A47" s="15">
        <v>46</v>
      </c>
      <c r="B47" s="16" t="s">
        <v>20</v>
      </c>
      <c r="C47" s="15" t="s">
        <v>53</v>
      </c>
      <c r="D47" s="16" t="s">
        <v>367</v>
      </c>
      <c r="E47" s="16" t="s">
        <v>368</v>
      </c>
      <c r="F47" s="16" t="s">
        <v>369</v>
      </c>
      <c r="G47" s="16" t="s">
        <v>370</v>
      </c>
      <c r="H47" s="16" t="s">
        <v>371</v>
      </c>
      <c r="I47" s="16" t="s">
        <v>372</v>
      </c>
      <c r="J47" s="17" t="s">
        <v>373</v>
      </c>
      <c r="K47" s="15" t="s">
        <v>76</v>
      </c>
    </row>
    <row r="48" spans="1:11" ht="39.6" hidden="1" x14ac:dyDescent="0.3">
      <c r="A48" s="15">
        <v>47</v>
      </c>
      <c r="B48" s="16" t="s">
        <v>20</v>
      </c>
      <c r="C48" s="15" t="s">
        <v>53</v>
      </c>
      <c r="D48" s="18" t="s">
        <v>125</v>
      </c>
      <c r="E48" s="18" t="s">
        <v>125</v>
      </c>
      <c r="F48" s="18" t="s">
        <v>125</v>
      </c>
      <c r="G48" s="16" t="s">
        <v>374</v>
      </c>
      <c r="H48" s="16" t="s">
        <v>375</v>
      </c>
      <c r="I48" s="16" t="s">
        <v>376</v>
      </c>
      <c r="J48" s="17" t="s">
        <v>377</v>
      </c>
      <c r="K48" s="15" t="s">
        <v>76</v>
      </c>
    </row>
    <row r="49" spans="1:11" ht="39.6" hidden="1" x14ac:dyDescent="0.3">
      <c r="A49" s="15">
        <v>48</v>
      </c>
      <c r="B49" s="16" t="s">
        <v>20</v>
      </c>
      <c r="C49" s="15" t="s">
        <v>55</v>
      </c>
      <c r="D49" s="16" t="s">
        <v>378</v>
      </c>
      <c r="E49" s="16" t="s">
        <v>379</v>
      </c>
      <c r="F49" s="16" t="s">
        <v>380</v>
      </c>
      <c r="G49" s="18" t="s">
        <v>381</v>
      </c>
      <c r="H49" s="18" t="s">
        <v>382</v>
      </c>
      <c r="I49" s="18" t="s">
        <v>125</v>
      </c>
      <c r="J49" s="17" t="s">
        <v>383</v>
      </c>
      <c r="K49" s="15" t="s">
        <v>76</v>
      </c>
    </row>
    <row r="50" spans="1:11" ht="52.8" hidden="1" x14ac:dyDescent="0.3">
      <c r="A50" s="15">
        <v>49</v>
      </c>
      <c r="B50" s="16" t="s">
        <v>20</v>
      </c>
      <c r="C50" s="15" t="s">
        <v>55</v>
      </c>
      <c r="D50" s="16" t="s">
        <v>384</v>
      </c>
      <c r="E50" s="16" t="s">
        <v>385</v>
      </c>
      <c r="F50" s="16" t="s">
        <v>386</v>
      </c>
      <c r="G50" s="18" t="s">
        <v>125</v>
      </c>
      <c r="H50" s="18" t="s">
        <v>387</v>
      </c>
      <c r="I50" s="18" t="s">
        <v>125</v>
      </c>
      <c r="J50" s="17" t="s">
        <v>388</v>
      </c>
      <c r="K50" s="15" t="s">
        <v>76</v>
      </c>
    </row>
    <row r="51" spans="1:11" ht="39.6" hidden="1" x14ac:dyDescent="0.3">
      <c r="A51" s="15">
        <v>50</v>
      </c>
      <c r="B51" s="16" t="s">
        <v>20</v>
      </c>
      <c r="C51" s="15" t="s">
        <v>55</v>
      </c>
      <c r="D51" s="16" t="s">
        <v>389</v>
      </c>
      <c r="E51" s="16" t="s">
        <v>390</v>
      </c>
      <c r="F51" s="16" t="s">
        <v>391</v>
      </c>
      <c r="G51" s="18" t="s">
        <v>392</v>
      </c>
      <c r="H51" s="18" t="s">
        <v>393</v>
      </c>
      <c r="I51" s="18" t="s">
        <v>125</v>
      </c>
      <c r="J51" s="17" t="s">
        <v>394</v>
      </c>
      <c r="K51" s="15" t="s">
        <v>76</v>
      </c>
    </row>
    <row r="52" spans="1:11" ht="26.4" hidden="1" x14ac:dyDescent="0.3">
      <c r="A52" s="15">
        <v>51</v>
      </c>
      <c r="B52" s="16" t="s">
        <v>20</v>
      </c>
      <c r="C52" s="15" t="s">
        <v>55</v>
      </c>
      <c r="D52" s="16" t="s">
        <v>395</v>
      </c>
      <c r="E52" s="16" t="s">
        <v>396</v>
      </c>
      <c r="F52" s="16" t="s">
        <v>397</v>
      </c>
      <c r="G52" s="18" t="s">
        <v>398</v>
      </c>
      <c r="H52" s="18" t="s">
        <v>399</v>
      </c>
      <c r="I52" s="18" t="s">
        <v>125</v>
      </c>
      <c r="J52" s="17" t="s">
        <v>400</v>
      </c>
      <c r="K52" s="15" t="s">
        <v>76</v>
      </c>
    </row>
    <row r="53" spans="1:11" ht="39.6" x14ac:dyDescent="0.3">
      <c r="A53" s="15">
        <v>52</v>
      </c>
      <c r="B53" s="16" t="s">
        <v>21</v>
      </c>
      <c r="C53" s="15" t="s">
        <v>51</v>
      </c>
      <c r="D53" s="16" t="s">
        <v>401</v>
      </c>
      <c r="E53" s="16" t="s">
        <v>402</v>
      </c>
      <c r="F53" s="16" t="s">
        <v>403</v>
      </c>
      <c r="G53" s="16" t="s">
        <v>404</v>
      </c>
      <c r="H53" s="16" t="s">
        <v>405</v>
      </c>
      <c r="I53" s="16" t="s">
        <v>406</v>
      </c>
      <c r="J53" s="17" t="s">
        <v>407</v>
      </c>
      <c r="K53" s="15" t="s">
        <v>76</v>
      </c>
    </row>
    <row r="54" spans="1:11" ht="39.6" x14ac:dyDescent="0.3">
      <c r="A54" s="15">
        <v>53</v>
      </c>
      <c r="B54" s="16" t="s">
        <v>21</v>
      </c>
      <c r="C54" s="15" t="s">
        <v>51</v>
      </c>
      <c r="D54" s="16" t="s">
        <v>408</v>
      </c>
      <c r="E54" s="16" t="s">
        <v>409</v>
      </c>
      <c r="F54" s="16" t="s">
        <v>410</v>
      </c>
      <c r="G54" s="18" t="s">
        <v>411</v>
      </c>
      <c r="H54" s="18" t="s">
        <v>412</v>
      </c>
      <c r="I54" s="18" t="s">
        <v>125</v>
      </c>
      <c r="J54" s="17" t="s">
        <v>413</v>
      </c>
      <c r="K54" s="15" t="s">
        <v>76</v>
      </c>
    </row>
    <row r="55" spans="1:11" ht="26.4" x14ac:dyDescent="0.3">
      <c r="A55" s="15">
        <v>54</v>
      </c>
      <c r="B55" s="16" t="s">
        <v>21</v>
      </c>
      <c r="C55" s="15" t="s">
        <v>51</v>
      </c>
      <c r="D55" s="16" t="s">
        <v>414</v>
      </c>
      <c r="E55" s="16" t="s">
        <v>415</v>
      </c>
      <c r="F55" s="16" t="s">
        <v>416</v>
      </c>
      <c r="G55" s="16" t="s">
        <v>417</v>
      </c>
      <c r="H55" s="16" t="s">
        <v>418</v>
      </c>
      <c r="I55" s="16" t="s">
        <v>419</v>
      </c>
      <c r="J55" s="17" t="s">
        <v>420</v>
      </c>
      <c r="K55" s="15" t="s">
        <v>76</v>
      </c>
    </row>
    <row r="56" spans="1:11" ht="39.6" x14ac:dyDescent="0.3">
      <c r="A56" s="15">
        <v>55</v>
      </c>
      <c r="B56" s="16" t="s">
        <v>21</v>
      </c>
      <c r="C56" s="15" t="s">
        <v>51</v>
      </c>
      <c r="D56" s="16" t="s">
        <v>421</v>
      </c>
      <c r="E56" s="16" t="s">
        <v>422</v>
      </c>
      <c r="F56" s="16" t="s">
        <v>423</v>
      </c>
      <c r="G56" s="16" t="s">
        <v>421</v>
      </c>
      <c r="H56" s="16" t="s">
        <v>424</v>
      </c>
      <c r="I56" s="16" t="s">
        <v>425</v>
      </c>
      <c r="J56" s="17" t="s">
        <v>426</v>
      </c>
      <c r="K56" s="15" t="s">
        <v>76</v>
      </c>
    </row>
    <row r="57" spans="1:11" ht="39.6" hidden="1" x14ac:dyDescent="0.3">
      <c r="A57" s="15">
        <v>56</v>
      </c>
      <c r="B57" s="16" t="s">
        <v>21</v>
      </c>
      <c r="C57" s="15" t="s">
        <v>53</v>
      </c>
      <c r="D57" s="16" t="s">
        <v>427</v>
      </c>
      <c r="E57" s="16" t="s">
        <v>428</v>
      </c>
      <c r="F57" s="16" t="s">
        <v>429</v>
      </c>
      <c r="G57" s="16" t="s">
        <v>430</v>
      </c>
      <c r="H57" s="16" t="s">
        <v>431</v>
      </c>
      <c r="I57" s="16" t="s">
        <v>432</v>
      </c>
      <c r="J57" s="17" t="s">
        <v>433</v>
      </c>
      <c r="K57" s="15" t="s">
        <v>76</v>
      </c>
    </row>
    <row r="58" spans="1:11" ht="39.6" hidden="1" x14ac:dyDescent="0.3">
      <c r="A58" s="15">
        <v>57</v>
      </c>
      <c r="B58" s="16" t="s">
        <v>21</v>
      </c>
      <c r="C58" s="15" t="s">
        <v>53</v>
      </c>
      <c r="D58" s="18" t="s">
        <v>125</v>
      </c>
      <c r="E58" s="18" t="s">
        <v>125</v>
      </c>
      <c r="F58" s="18" t="s">
        <v>125</v>
      </c>
      <c r="G58" s="16" t="s">
        <v>434</v>
      </c>
      <c r="H58" s="16" t="s">
        <v>435</v>
      </c>
      <c r="I58" s="16" t="s">
        <v>436</v>
      </c>
      <c r="J58" s="17" t="s">
        <v>437</v>
      </c>
      <c r="K58" s="15" t="s">
        <v>76</v>
      </c>
    </row>
    <row r="59" spans="1:11" ht="39.6" hidden="1" x14ac:dyDescent="0.3">
      <c r="A59" s="15">
        <v>58</v>
      </c>
      <c r="B59" s="16" t="s">
        <v>21</v>
      </c>
      <c r="C59" s="15" t="s">
        <v>53</v>
      </c>
      <c r="D59" s="18" t="s">
        <v>125</v>
      </c>
      <c r="E59" s="18" t="s">
        <v>125</v>
      </c>
      <c r="F59" s="18" t="s">
        <v>125</v>
      </c>
      <c r="G59" s="16" t="s">
        <v>438</v>
      </c>
      <c r="H59" s="16" t="s">
        <v>439</v>
      </c>
      <c r="I59" s="16" t="s">
        <v>440</v>
      </c>
      <c r="J59" s="17" t="s">
        <v>441</v>
      </c>
      <c r="K59" s="15" t="s">
        <v>76</v>
      </c>
    </row>
    <row r="60" spans="1:11" ht="39.6" hidden="1" x14ac:dyDescent="0.3">
      <c r="A60" s="15">
        <v>59</v>
      </c>
      <c r="B60" s="16" t="s">
        <v>21</v>
      </c>
      <c r="C60" s="15" t="s">
        <v>53</v>
      </c>
      <c r="D60" s="18" t="s">
        <v>125</v>
      </c>
      <c r="E60" s="18" t="s">
        <v>125</v>
      </c>
      <c r="F60" s="18" t="s">
        <v>125</v>
      </c>
      <c r="G60" s="16" t="s">
        <v>442</v>
      </c>
      <c r="H60" s="16" t="s">
        <v>443</v>
      </c>
      <c r="I60" s="16" t="s">
        <v>444</v>
      </c>
      <c r="J60" s="17" t="s">
        <v>445</v>
      </c>
      <c r="K60" s="15" t="s">
        <v>76</v>
      </c>
    </row>
    <row r="61" spans="1:11" ht="26.4" hidden="1" x14ac:dyDescent="0.3">
      <c r="A61" s="15">
        <v>60</v>
      </c>
      <c r="B61" s="16" t="s">
        <v>21</v>
      </c>
      <c r="C61" s="15" t="s">
        <v>55</v>
      </c>
      <c r="D61" s="16" t="s">
        <v>446</v>
      </c>
      <c r="E61" s="16" t="s">
        <v>447</v>
      </c>
      <c r="F61" s="16" t="s">
        <v>448</v>
      </c>
      <c r="G61" s="18" t="s">
        <v>125</v>
      </c>
      <c r="H61" s="18" t="s">
        <v>449</v>
      </c>
      <c r="I61" s="18" t="s">
        <v>125</v>
      </c>
      <c r="J61" s="17" t="s">
        <v>450</v>
      </c>
      <c r="K61" s="15" t="s">
        <v>76</v>
      </c>
    </row>
    <row r="62" spans="1:11" ht="26.4" hidden="1" x14ac:dyDescent="0.3">
      <c r="A62" s="15">
        <v>61</v>
      </c>
      <c r="B62" s="16" t="s">
        <v>21</v>
      </c>
      <c r="C62" s="15" t="s">
        <v>55</v>
      </c>
      <c r="D62" s="16" t="s">
        <v>451</v>
      </c>
      <c r="E62" s="16" t="s">
        <v>452</v>
      </c>
      <c r="F62" s="16" t="s">
        <v>453</v>
      </c>
      <c r="G62" s="16" t="s">
        <v>454</v>
      </c>
      <c r="H62" s="16" t="s">
        <v>455</v>
      </c>
      <c r="I62" s="16" t="s">
        <v>456</v>
      </c>
      <c r="J62" s="17" t="s">
        <v>457</v>
      </c>
      <c r="K62" s="15" t="s">
        <v>76</v>
      </c>
    </row>
    <row r="63" spans="1:11" ht="39.6" x14ac:dyDescent="0.3">
      <c r="A63" s="15">
        <v>62</v>
      </c>
      <c r="B63" s="16" t="s">
        <v>22</v>
      </c>
      <c r="C63" s="15" t="s">
        <v>51</v>
      </c>
      <c r="D63" s="16" t="s">
        <v>458</v>
      </c>
      <c r="E63" s="16" t="s">
        <v>459</v>
      </c>
      <c r="F63" s="16" t="s">
        <v>460</v>
      </c>
      <c r="G63" s="16" t="s">
        <v>458</v>
      </c>
      <c r="H63" s="16" t="s">
        <v>461</v>
      </c>
      <c r="I63" s="16" t="s">
        <v>462</v>
      </c>
      <c r="J63" s="17" t="s">
        <v>463</v>
      </c>
      <c r="K63" s="15" t="s">
        <v>76</v>
      </c>
    </row>
    <row r="64" spans="1:11" ht="39.6" x14ac:dyDescent="0.3">
      <c r="A64" s="15">
        <v>63</v>
      </c>
      <c r="B64" s="16" t="s">
        <v>22</v>
      </c>
      <c r="C64" s="15" t="s">
        <v>51</v>
      </c>
      <c r="D64" s="16" t="s">
        <v>464</v>
      </c>
      <c r="E64" s="16" t="s">
        <v>465</v>
      </c>
      <c r="F64" s="16" t="s">
        <v>466</v>
      </c>
      <c r="G64" s="16" t="s">
        <v>467</v>
      </c>
      <c r="H64" s="16" t="s">
        <v>468</v>
      </c>
      <c r="I64" s="16" t="s">
        <v>469</v>
      </c>
      <c r="J64" s="17" t="s">
        <v>470</v>
      </c>
      <c r="K64" s="15" t="s">
        <v>76</v>
      </c>
    </row>
    <row r="65" spans="1:11" ht="39.6" x14ac:dyDescent="0.3">
      <c r="A65" s="15">
        <v>64</v>
      </c>
      <c r="B65" s="16" t="s">
        <v>22</v>
      </c>
      <c r="C65" s="15" t="s">
        <v>51</v>
      </c>
      <c r="D65" s="16" t="s">
        <v>471</v>
      </c>
      <c r="E65" s="16" t="s">
        <v>472</v>
      </c>
      <c r="F65" s="16" t="s">
        <v>473</v>
      </c>
      <c r="G65" s="16" t="s">
        <v>471</v>
      </c>
      <c r="H65" s="16" t="s">
        <v>474</v>
      </c>
      <c r="I65" s="16" t="s">
        <v>475</v>
      </c>
      <c r="J65" s="17" t="s">
        <v>476</v>
      </c>
      <c r="K65" s="15" t="s">
        <v>76</v>
      </c>
    </row>
    <row r="66" spans="1:11" ht="39.6" x14ac:dyDescent="0.3">
      <c r="A66" s="15">
        <v>65</v>
      </c>
      <c r="B66" s="16" t="s">
        <v>22</v>
      </c>
      <c r="C66" s="15" t="s">
        <v>51</v>
      </c>
      <c r="D66" s="16" t="s">
        <v>477</v>
      </c>
      <c r="E66" s="16" t="s">
        <v>478</v>
      </c>
      <c r="F66" s="16" t="s">
        <v>479</v>
      </c>
      <c r="G66" s="16" t="s">
        <v>480</v>
      </c>
      <c r="H66" s="16" t="s">
        <v>481</v>
      </c>
      <c r="I66" s="16" t="s">
        <v>482</v>
      </c>
      <c r="J66" s="17" t="s">
        <v>483</v>
      </c>
      <c r="K66" s="15" t="s">
        <v>76</v>
      </c>
    </row>
    <row r="67" spans="1:11" ht="39.6" x14ac:dyDescent="0.3">
      <c r="A67" s="15">
        <v>66</v>
      </c>
      <c r="B67" s="16" t="s">
        <v>22</v>
      </c>
      <c r="C67" s="15" t="s">
        <v>51</v>
      </c>
      <c r="D67" s="16" t="s">
        <v>484</v>
      </c>
      <c r="E67" s="16" t="s">
        <v>485</v>
      </c>
      <c r="F67" s="16" t="s">
        <v>486</v>
      </c>
      <c r="G67" s="16" t="s">
        <v>487</v>
      </c>
      <c r="H67" s="16" t="s">
        <v>488</v>
      </c>
      <c r="I67" s="16" t="s">
        <v>489</v>
      </c>
      <c r="J67" s="17" t="s">
        <v>490</v>
      </c>
      <c r="K67" s="15" t="s">
        <v>76</v>
      </c>
    </row>
    <row r="68" spans="1:11" ht="39.6" x14ac:dyDescent="0.3">
      <c r="A68" s="15">
        <v>67</v>
      </c>
      <c r="B68" s="16" t="s">
        <v>22</v>
      </c>
      <c r="C68" s="15" t="s">
        <v>51</v>
      </c>
      <c r="D68" s="16" t="s">
        <v>491</v>
      </c>
      <c r="E68" s="16" t="s">
        <v>492</v>
      </c>
      <c r="F68" s="16" t="s">
        <v>493</v>
      </c>
      <c r="G68" s="16" t="s">
        <v>494</v>
      </c>
      <c r="H68" s="16" t="s">
        <v>495</v>
      </c>
      <c r="I68" s="16" t="s">
        <v>496</v>
      </c>
      <c r="J68" s="17" t="s">
        <v>497</v>
      </c>
      <c r="K68" s="15" t="s">
        <v>76</v>
      </c>
    </row>
    <row r="69" spans="1:11" ht="39.6" x14ac:dyDescent="0.3">
      <c r="A69" s="15">
        <v>68</v>
      </c>
      <c r="B69" s="16" t="s">
        <v>22</v>
      </c>
      <c r="C69" s="15" t="s">
        <v>51</v>
      </c>
      <c r="D69" s="16" t="s">
        <v>498</v>
      </c>
      <c r="E69" s="16" t="s">
        <v>499</v>
      </c>
      <c r="F69" s="16" t="s">
        <v>500</v>
      </c>
      <c r="G69" s="16" t="s">
        <v>501</v>
      </c>
      <c r="H69" s="16" t="s">
        <v>502</v>
      </c>
      <c r="I69" s="16" t="s">
        <v>503</v>
      </c>
      <c r="J69" s="17" t="s">
        <v>504</v>
      </c>
      <c r="K69" s="15" t="s">
        <v>76</v>
      </c>
    </row>
    <row r="70" spans="1:11" ht="52.8" x14ac:dyDescent="0.3">
      <c r="A70" s="15">
        <v>69</v>
      </c>
      <c r="B70" s="16" t="s">
        <v>22</v>
      </c>
      <c r="C70" s="15" t="s">
        <v>51</v>
      </c>
      <c r="D70" s="16" t="s">
        <v>505</v>
      </c>
      <c r="E70" s="16" t="s">
        <v>506</v>
      </c>
      <c r="F70" s="16" t="s">
        <v>507</v>
      </c>
      <c r="G70" s="16" t="s">
        <v>508</v>
      </c>
      <c r="H70" s="16" t="s">
        <v>509</v>
      </c>
      <c r="I70" s="16" t="s">
        <v>510</v>
      </c>
      <c r="J70" s="17" t="s">
        <v>511</v>
      </c>
      <c r="K70" s="15" t="s">
        <v>76</v>
      </c>
    </row>
    <row r="71" spans="1:11" ht="39.6" x14ac:dyDescent="0.3">
      <c r="A71" s="15">
        <v>70</v>
      </c>
      <c r="B71" s="16" t="s">
        <v>22</v>
      </c>
      <c r="C71" s="15" t="s">
        <v>51</v>
      </c>
      <c r="D71" s="16" t="s">
        <v>512</v>
      </c>
      <c r="E71" s="16" t="s">
        <v>513</v>
      </c>
      <c r="F71" s="16" t="s">
        <v>514</v>
      </c>
      <c r="G71" s="16" t="s">
        <v>515</v>
      </c>
      <c r="H71" s="16" t="s">
        <v>516</v>
      </c>
      <c r="I71" s="16" t="s">
        <v>517</v>
      </c>
      <c r="J71" s="17" t="s">
        <v>518</v>
      </c>
      <c r="K71" s="15" t="s">
        <v>76</v>
      </c>
    </row>
    <row r="72" spans="1:11" ht="39.6" hidden="1" x14ac:dyDescent="0.3">
      <c r="A72" s="15">
        <v>71</v>
      </c>
      <c r="B72" s="16" t="s">
        <v>22</v>
      </c>
      <c r="C72" s="15" t="s">
        <v>53</v>
      </c>
      <c r="D72" s="16" t="s">
        <v>519</v>
      </c>
      <c r="E72" s="16" t="s">
        <v>520</v>
      </c>
      <c r="F72" s="16" t="s">
        <v>521</v>
      </c>
      <c r="G72" s="18" t="s">
        <v>522</v>
      </c>
      <c r="H72" s="18" t="s">
        <v>523</v>
      </c>
      <c r="I72" s="18" t="s">
        <v>125</v>
      </c>
      <c r="J72" s="17" t="s">
        <v>524</v>
      </c>
      <c r="K72" s="15" t="s">
        <v>76</v>
      </c>
    </row>
    <row r="73" spans="1:11" ht="39.6" hidden="1" x14ac:dyDescent="0.3">
      <c r="A73" s="15">
        <v>72</v>
      </c>
      <c r="B73" s="16" t="s">
        <v>22</v>
      </c>
      <c r="C73" s="15" t="s">
        <v>53</v>
      </c>
      <c r="D73" s="16" t="s">
        <v>525</v>
      </c>
      <c r="E73" s="16" t="s">
        <v>526</v>
      </c>
      <c r="F73" s="16" t="s">
        <v>527</v>
      </c>
      <c r="G73" s="16" t="s">
        <v>528</v>
      </c>
      <c r="H73" s="16" t="s">
        <v>529</v>
      </c>
      <c r="I73" s="16" t="s">
        <v>530</v>
      </c>
      <c r="J73" s="17" t="s">
        <v>531</v>
      </c>
      <c r="K73" s="15" t="s">
        <v>76</v>
      </c>
    </row>
    <row r="74" spans="1:11" ht="26.4" hidden="1" x14ac:dyDescent="0.3">
      <c r="A74" s="15">
        <v>73</v>
      </c>
      <c r="B74" s="16" t="s">
        <v>22</v>
      </c>
      <c r="C74" s="15" t="s">
        <v>53</v>
      </c>
      <c r="D74" s="16" t="s">
        <v>532</v>
      </c>
      <c r="E74" s="16" t="s">
        <v>533</v>
      </c>
      <c r="F74" s="16" t="s">
        <v>534</v>
      </c>
      <c r="G74" s="18" t="s">
        <v>535</v>
      </c>
      <c r="H74" s="18" t="s">
        <v>536</v>
      </c>
      <c r="I74" s="18" t="s">
        <v>125</v>
      </c>
      <c r="J74" s="17" t="s">
        <v>537</v>
      </c>
      <c r="K74" s="15" t="s">
        <v>76</v>
      </c>
    </row>
    <row r="75" spans="1:11" ht="39.6" hidden="1" x14ac:dyDescent="0.3">
      <c r="A75" s="15">
        <v>74</v>
      </c>
      <c r="B75" s="16" t="s">
        <v>22</v>
      </c>
      <c r="C75" s="15" t="s">
        <v>53</v>
      </c>
      <c r="D75" s="16" t="s">
        <v>538</v>
      </c>
      <c r="E75" s="16" t="s">
        <v>539</v>
      </c>
      <c r="F75" s="16" t="s">
        <v>540</v>
      </c>
      <c r="G75" s="16" t="s">
        <v>541</v>
      </c>
      <c r="H75" s="16" t="s">
        <v>542</v>
      </c>
      <c r="I75" s="16" t="s">
        <v>543</v>
      </c>
      <c r="J75" s="17" t="s">
        <v>544</v>
      </c>
      <c r="K75" s="15" t="s">
        <v>76</v>
      </c>
    </row>
    <row r="76" spans="1:11" ht="26.4" hidden="1" x14ac:dyDescent="0.3">
      <c r="A76" s="15">
        <v>75</v>
      </c>
      <c r="B76" s="16" t="s">
        <v>22</v>
      </c>
      <c r="C76" s="15" t="s">
        <v>53</v>
      </c>
      <c r="D76" s="18" t="s">
        <v>125</v>
      </c>
      <c r="E76" s="18" t="s">
        <v>125</v>
      </c>
      <c r="F76" s="18" t="s">
        <v>125</v>
      </c>
      <c r="G76" s="16" t="s">
        <v>545</v>
      </c>
      <c r="H76" s="16" t="s">
        <v>546</v>
      </c>
      <c r="I76" s="16" t="s">
        <v>547</v>
      </c>
      <c r="J76" s="17" t="s">
        <v>548</v>
      </c>
      <c r="K76" s="15" t="s">
        <v>76</v>
      </c>
    </row>
    <row r="77" spans="1:11" ht="39.6" hidden="1" x14ac:dyDescent="0.3">
      <c r="A77" s="15">
        <v>76</v>
      </c>
      <c r="B77" s="16" t="s">
        <v>22</v>
      </c>
      <c r="C77" s="15" t="s">
        <v>53</v>
      </c>
      <c r="D77" s="16" t="s">
        <v>549</v>
      </c>
      <c r="E77" s="16" t="s">
        <v>550</v>
      </c>
      <c r="F77" s="16" t="s">
        <v>551</v>
      </c>
      <c r="G77" s="16" t="s">
        <v>552</v>
      </c>
      <c r="H77" s="16" t="s">
        <v>553</v>
      </c>
      <c r="I77" s="16" t="s">
        <v>554</v>
      </c>
      <c r="J77" s="17" t="s">
        <v>555</v>
      </c>
      <c r="K77" s="15" t="s">
        <v>76</v>
      </c>
    </row>
    <row r="78" spans="1:11" ht="39.6" hidden="1" x14ac:dyDescent="0.3">
      <c r="A78" s="15">
        <v>77</v>
      </c>
      <c r="B78" s="16" t="s">
        <v>22</v>
      </c>
      <c r="C78" s="15" t="s">
        <v>53</v>
      </c>
      <c r="D78" s="16" t="s">
        <v>556</v>
      </c>
      <c r="E78" s="16" t="s">
        <v>557</v>
      </c>
      <c r="F78" s="16" t="s">
        <v>558</v>
      </c>
      <c r="G78" s="16" t="s">
        <v>559</v>
      </c>
      <c r="H78" s="16" t="s">
        <v>560</v>
      </c>
      <c r="I78" s="16" t="s">
        <v>561</v>
      </c>
      <c r="J78" s="17" t="s">
        <v>562</v>
      </c>
      <c r="K78" s="15" t="s">
        <v>76</v>
      </c>
    </row>
    <row r="79" spans="1:11" ht="39.6" hidden="1" x14ac:dyDescent="0.3">
      <c r="A79" s="15">
        <v>78</v>
      </c>
      <c r="B79" s="16" t="s">
        <v>22</v>
      </c>
      <c r="C79" s="15" t="s">
        <v>53</v>
      </c>
      <c r="D79" s="16" t="s">
        <v>563</v>
      </c>
      <c r="E79" s="16" t="s">
        <v>564</v>
      </c>
      <c r="F79" s="16" t="s">
        <v>565</v>
      </c>
      <c r="G79" s="16" t="s">
        <v>566</v>
      </c>
      <c r="H79" s="16" t="s">
        <v>567</v>
      </c>
      <c r="I79" s="16" t="s">
        <v>568</v>
      </c>
      <c r="J79" s="17" t="s">
        <v>569</v>
      </c>
      <c r="K79" s="15" t="s">
        <v>76</v>
      </c>
    </row>
    <row r="80" spans="1:11" ht="39.6" hidden="1" x14ac:dyDescent="0.3">
      <c r="A80" s="15">
        <v>79</v>
      </c>
      <c r="B80" s="16" t="s">
        <v>22</v>
      </c>
      <c r="C80" s="15" t="s">
        <v>53</v>
      </c>
      <c r="D80" s="16" t="s">
        <v>570</v>
      </c>
      <c r="E80" s="16" t="s">
        <v>571</v>
      </c>
      <c r="F80" s="16" t="s">
        <v>572</v>
      </c>
      <c r="G80" s="16" t="s">
        <v>573</v>
      </c>
      <c r="H80" s="16" t="s">
        <v>574</v>
      </c>
      <c r="I80" s="16" t="s">
        <v>575</v>
      </c>
      <c r="J80" s="17" t="s">
        <v>576</v>
      </c>
      <c r="K80" s="15" t="s">
        <v>76</v>
      </c>
    </row>
    <row r="81" spans="1:11" ht="39.6" hidden="1" x14ac:dyDescent="0.3">
      <c r="A81" s="15">
        <v>80</v>
      </c>
      <c r="B81" s="16" t="s">
        <v>22</v>
      </c>
      <c r="C81" s="15" t="s">
        <v>53</v>
      </c>
      <c r="D81" s="16" t="s">
        <v>577</v>
      </c>
      <c r="E81" s="16" t="s">
        <v>578</v>
      </c>
      <c r="F81" s="16" t="s">
        <v>579</v>
      </c>
      <c r="G81" s="16" t="s">
        <v>577</v>
      </c>
      <c r="H81" s="16" t="s">
        <v>580</v>
      </c>
      <c r="I81" s="16" t="s">
        <v>581</v>
      </c>
      <c r="J81" s="17" t="s">
        <v>582</v>
      </c>
      <c r="K81" s="15" t="s">
        <v>76</v>
      </c>
    </row>
    <row r="82" spans="1:11" ht="39.6" hidden="1" x14ac:dyDescent="0.3">
      <c r="A82" s="15">
        <v>81</v>
      </c>
      <c r="B82" s="16" t="s">
        <v>22</v>
      </c>
      <c r="C82" s="15" t="s">
        <v>55</v>
      </c>
      <c r="D82" s="16" t="s">
        <v>583</v>
      </c>
      <c r="E82" s="16" t="s">
        <v>584</v>
      </c>
      <c r="F82" s="16" t="s">
        <v>585</v>
      </c>
      <c r="G82" s="16" t="s">
        <v>586</v>
      </c>
      <c r="H82" s="16" t="s">
        <v>587</v>
      </c>
      <c r="I82" s="16" t="s">
        <v>588</v>
      </c>
      <c r="J82" s="17" t="s">
        <v>589</v>
      </c>
      <c r="K82" s="15" t="s">
        <v>76</v>
      </c>
    </row>
    <row r="83" spans="1:11" ht="39.6" hidden="1" x14ac:dyDescent="0.3">
      <c r="A83" s="15">
        <v>82</v>
      </c>
      <c r="B83" s="16" t="s">
        <v>22</v>
      </c>
      <c r="C83" s="15" t="s">
        <v>55</v>
      </c>
      <c r="D83" s="16" t="s">
        <v>590</v>
      </c>
      <c r="E83" s="16" t="s">
        <v>591</v>
      </c>
      <c r="F83" s="16" t="s">
        <v>592</v>
      </c>
      <c r="G83" s="18" t="s">
        <v>125</v>
      </c>
      <c r="H83" s="18" t="s">
        <v>593</v>
      </c>
      <c r="I83" s="18" t="s">
        <v>125</v>
      </c>
      <c r="J83" s="17" t="s">
        <v>594</v>
      </c>
      <c r="K83" s="15" t="s">
        <v>76</v>
      </c>
    </row>
    <row r="84" spans="1:11" ht="39.6" hidden="1" x14ac:dyDescent="0.3">
      <c r="A84" s="15">
        <v>83</v>
      </c>
      <c r="B84" s="16" t="s">
        <v>22</v>
      </c>
      <c r="C84" s="15" t="s">
        <v>55</v>
      </c>
      <c r="D84" s="16" t="s">
        <v>595</v>
      </c>
      <c r="E84" s="16" t="s">
        <v>596</v>
      </c>
      <c r="F84" s="16" t="s">
        <v>597</v>
      </c>
      <c r="G84" s="18" t="s">
        <v>598</v>
      </c>
      <c r="H84" s="18" t="s">
        <v>599</v>
      </c>
      <c r="I84" s="18" t="s">
        <v>125</v>
      </c>
      <c r="J84" s="17" t="s">
        <v>600</v>
      </c>
      <c r="K84" s="15" t="s">
        <v>76</v>
      </c>
    </row>
    <row r="85" spans="1:11" ht="39.6" hidden="1" x14ac:dyDescent="0.3">
      <c r="A85" s="15">
        <v>84</v>
      </c>
      <c r="B85" s="16" t="s">
        <v>22</v>
      </c>
      <c r="C85" s="15" t="s">
        <v>55</v>
      </c>
      <c r="D85" s="16" t="s">
        <v>601</v>
      </c>
      <c r="E85" s="16" t="s">
        <v>602</v>
      </c>
      <c r="F85" s="16" t="s">
        <v>603</v>
      </c>
      <c r="G85" s="16" t="s">
        <v>604</v>
      </c>
      <c r="H85" s="16" t="s">
        <v>605</v>
      </c>
      <c r="I85" s="16" t="s">
        <v>606</v>
      </c>
      <c r="J85" s="17" t="s">
        <v>607</v>
      </c>
      <c r="K85" s="15" t="s">
        <v>76</v>
      </c>
    </row>
    <row r="86" spans="1:11" ht="39.6" hidden="1" x14ac:dyDescent="0.3">
      <c r="A86" s="15">
        <v>85</v>
      </c>
      <c r="B86" s="16" t="s">
        <v>22</v>
      </c>
      <c r="C86" s="15" t="s">
        <v>55</v>
      </c>
      <c r="D86" s="16" t="s">
        <v>608</v>
      </c>
      <c r="E86" s="16" t="s">
        <v>609</v>
      </c>
      <c r="F86" s="16" t="s">
        <v>610</v>
      </c>
      <c r="G86" s="16" t="s">
        <v>611</v>
      </c>
      <c r="H86" s="16" t="s">
        <v>612</v>
      </c>
      <c r="I86" s="16" t="s">
        <v>613</v>
      </c>
      <c r="J86" s="17" t="s">
        <v>614</v>
      </c>
      <c r="K86" s="15" t="s">
        <v>76</v>
      </c>
    </row>
    <row r="87" spans="1:11" ht="39.6" hidden="1" x14ac:dyDescent="0.3">
      <c r="A87" s="15">
        <v>86</v>
      </c>
      <c r="B87" s="16" t="s">
        <v>22</v>
      </c>
      <c r="C87" s="15" t="s">
        <v>55</v>
      </c>
      <c r="D87" s="16" t="s">
        <v>615</v>
      </c>
      <c r="E87" s="16" t="s">
        <v>616</v>
      </c>
      <c r="F87" s="16" t="s">
        <v>617</v>
      </c>
      <c r="G87" s="18" t="s">
        <v>125</v>
      </c>
      <c r="H87" s="18" t="s">
        <v>618</v>
      </c>
      <c r="I87" s="18" t="s">
        <v>125</v>
      </c>
      <c r="J87" s="17" t="s">
        <v>619</v>
      </c>
      <c r="K87" s="15" t="s">
        <v>76</v>
      </c>
    </row>
    <row r="88" spans="1:11" ht="39.6" hidden="1" x14ac:dyDescent="0.3">
      <c r="A88" s="15">
        <v>87</v>
      </c>
      <c r="B88" s="16" t="s">
        <v>22</v>
      </c>
      <c r="C88" s="15" t="s">
        <v>55</v>
      </c>
      <c r="D88" s="18" t="s">
        <v>125</v>
      </c>
      <c r="E88" s="18" t="s">
        <v>125</v>
      </c>
      <c r="F88" s="18" t="s">
        <v>125</v>
      </c>
      <c r="G88" s="16" t="s">
        <v>620</v>
      </c>
      <c r="H88" s="16" t="s">
        <v>621</v>
      </c>
      <c r="I88" s="16" t="s">
        <v>622</v>
      </c>
      <c r="J88" s="17" t="s">
        <v>623</v>
      </c>
      <c r="K88" s="15" t="s">
        <v>76</v>
      </c>
    </row>
    <row r="89" spans="1:11" ht="39.6" x14ac:dyDescent="0.3">
      <c r="A89" s="15">
        <v>88</v>
      </c>
      <c r="B89" s="16" t="s">
        <v>23</v>
      </c>
      <c r="C89" s="15" t="s">
        <v>51</v>
      </c>
      <c r="D89" s="16" t="s">
        <v>624</v>
      </c>
      <c r="E89" s="16" t="s">
        <v>625</v>
      </c>
      <c r="F89" s="16" t="s">
        <v>626</v>
      </c>
      <c r="G89" s="16" t="s">
        <v>627</v>
      </c>
      <c r="H89" s="16" t="s">
        <v>628</v>
      </c>
      <c r="I89" s="16" t="s">
        <v>629</v>
      </c>
      <c r="J89" s="17" t="s">
        <v>630</v>
      </c>
      <c r="K89" s="15" t="s">
        <v>76</v>
      </c>
    </row>
    <row r="90" spans="1:11" ht="26.4" hidden="1" x14ac:dyDescent="0.3">
      <c r="A90" s="15">
        <v>89</v>
      </c>
      <c r="B90" s="16" t="s">
        <v>23</v>
      </c>
      <c r="C90" s="15" t="s">
        <v>55</v>
      </c>
      <c r="D90" s="16" t="s">
        <v>631</v>
      </c>
      <c r="E90" s="16" t="s">
        <v>632</v>
      </c>
      <c r="F90" s="16" t="s">
        <v>633</v>
      </c>
      <c r="G90" s="18" t="s">
        <v>125</v>
      </c>
      <c r="H90" s="18" t="s">
        <v>125</v>
      </c>
      <c r="I90" s="18" t="s">
        <v>125</v>
      </c>
      <c r="J90" s="17" t="s">
        <v>634</v>
      </c>
      <c r="K90" s="15" t="s">
        <v>76</v>
      </c>
    </row>
    <row r="91" spans="1:11" ht="39.6" x14ac:dyDescent="0.3">
      <c r="A91" s="15">
        <v>90</v>
      </c>
      <c r="B91" s="16" t="s">
        <v>24</v>
      </c>
      <c r="C91" s="15" t="s">
        <v>51</v>
      </c>
      <c r="D91" s="16" t="s">
        <v>635</v>
      </c>
      <c r="E91" s="16" t="s">
        <v>636</v>
      </c>
      <c r="F91" s="16" t="s">
        <v>637</v>
      </c>
      <c r="G91" s="16" t="s">
        <v>638</v>
      </c>
      <c r="H91" s="16" t="s">
        <v>639</v>
      </c>
      <c r="I91" s="16" t="s">
        <v>640</v>
      </c>
      <c r="J91" s="17" t="s">
        <v>641</v>
      </c>
      <c r="K91" s="15" t="s">
        <v>76</v>
      </c>
    </row>
    <row r="92" spans="1:11" ht="26.4" x14ac:dyDescent="0.3">
      <c r="A92" s="15">
        <v>91</v>
      </c>
      <c r="B92" s="16" t="s">
        <v>24</v>
      </c>
      <c r="C92" s="15" t="s">
        <v>51</v>
      </c>
      <c r="D92" s="16" t="s">
        <v>642</v>
      </c>
      <c r="E92" s="16" t="s">
        <v>643</v>
      </c>
      <c r="F92" s="16" t="s">
        <v>644</v>
      </c>
      <c r="G92" s="16" t="s">
        <v>645</v>
      </c>
      <c r="H92" s="16" t="s">
        <v>646</v>
      </c>
      <c r="I92" s="16" t="s">
        <v>647</v>
      </c>
      <c r="J92" s="17" t="s">
        <v>648</v>
      </c>
      <c r="K92" s="15" t="s">
        <v>76</v>
      </c>
    </row>
    <row r="93" spans="1:11" ht="39.6" x14ac:dyDescent="0.3">
      <c r="A93" s="15">
        <v>92</v>
      </c>
      <c r="B93" s="16" t="s">
        <v>24</v>
      </c>
      <c r="C93" s="15" t="s">
        <v>51</v>
      </c>
      <c r="D93" s="16" t="s">
        <v>649</v>
      </c>
      <c r="E93" s="16" t="s">
        <v>650</v>
      </c>
      <c r="F93" s="16" t="s">
        <v>651</v>
      </c>
      <c r="G93" s="18" t="s">
        <v>125</v>
      </c>
      <c r="H93" s="18" t="s">
        <v>652</v>
      </c>
      <c r="I93" s="18" t="s">
        <v>125</v>
      </c>
      <c r="J93" s="17" t="s">
        <v>653</v>
      </c>
      <c r="K93" s="15" t="s">
        <v>76</v>
      </c>
    </row>
    <row r="94" spans="1:11" ht="26.4" hidden="1" x14ac:dyDescent="0.3">
      <c r="A94" s="15">
        <v>93</v>
      </c>
      <c r="B94" s="16" t="s">
        <v>24</v>
      </c>
      <c r="C94" s="15" t="s">
        <v>53</v>
      </c>
      <c r="D94" s="16" t="s">
        <v>654</v>
      </c>
      <c r="E94" s="16" t="s">
        <v>655</v>
      </c>
      <c r="F94" s="16" t="s">
        <v>656</v>
      </c>
      <c r="G94" s="16" t="s">
        <v>654</v>
      </c>
      <c r="H94" s="16" t="s">
        <v>657</v>
      </c>
      <c r="I94" s="16" t="s">
        <v>658</v>
      </c>
      <c r="J94" s="17" t="s">
        <v>659</v>
      </c>
      <c r="K94" s="15" t="s">
        <v>76</v>
      </c>
    </row>
    <row r="95" spans="1:11" ht="39.6" hidden="1" x14ac:dyDescent="0.3">
      <c r="A95" s="15">
        <v>94</v>
      </c>
      <c r="B95" s="16" t="s">
        <v>24</v>
      </c>
      <c r="C95" s="15" t="s">
        <v>53</v>
      </c>
      <c r="D95" s="16" t="s">
        <v>660</v>
      </c>
      <c r="E95" s="16" t="s">
        <v>661</v>
      </c>
      <c r="F95" s="16" t="s">
        <v>662</v>
      </c>
      <c r="G95" s="16" t="s">
        <v>663</v>
      </c>
      <c r="H95" s="16" t="s">
        <v>664</v>
      </c>
      <c r="I95" s="16" t="s">
        <v>665</v>
      </c>
      <c r="J95" s="17" t="s">
        <v>666</v>
      </c>
      <c r="K95" s="15" t="s">
        <v>76</v>
      </c>
    </row>
    <row r="96" spans="1:11" ht="26.4" hidden="1" x14ac:dyDescent="0.3">
      <c r="A96" s="15">
        <v>95</v>
      </c>
      <c r="B96" s="16" t="s">
        <v>24</v>
      </c>
      <c r="C96" s="15" t="s">
        <v>53</v>
      </c>
      <c r="D96" s="16" t="s">
        <v>667</v>
      </c>
      <c r="E96" s="16" t="s">
        <v>668</v>
      </c>
      <c r="F96" s="16" t="s">
        <v>669</v>
      </c>
      <c r="G96" s="16" t="s">
        <v>670</v>
      </c>
      <c r="H96" s="16" t="s">
        <v>671</v>
      </c>
      <c r="I96" s="16" t="s">
        <v>672</v>
      </c>
      <c r="J96" s="17" t="s">
        <v>673</v>
      </c>
      <c r="K96" s="15" t="s">
        <v>76</v>
      </c>
    </row>
    <row r="97" spans="1:11" ht="39.6" x14ac:dyDescent="0.3">
      <c r="A97" s="15">
        <v>96</v>
      </c>
      <c r="B97" s="16" t="s">
        <v>25</v>
      </c>
      <c r="C97" s="15" t="s">
        <v>51</v>
      </c>
      <c r="D97" s="16" t="s">
        <v>674</v>
      </c>
      <c r="E97" s="16" t="s">
        <v>675</v>
      </c>
      <c r="F97" s="16" t="s">
        <v>676</v>
      </c>
      <c r="G97" s="16" t="s">
        <v>677</v>
      </c>
      <c r="H97" s="16" t="s">
        <v>678</v>
      </c>
      <c r="I97" s="16" t="s">
        <v>679</v>
      </c>
      <c r="J97" s="17" t="s">
        <v>680</v>
      </c>
      <c r="K97" s="15" t="s">
        <v>76</v>
      </c>
    </row>
    <row r="98" spans="1:11" ht="39.6" x14ac:dyDescent="0.3">
      <c r="A98" s="15">
        <v>97</v>
      </c>
      <c r="B98" s="16" t="s">
        <v>25</v>
      </c>
      <c r="C98" s="15" t="s">
        <v>51</v>
      </c>
      <c r="D98" s="16" t="s">
        <v>681</v>
      </c>
      <c r="E98" s="16" t="s">
        <v>682</v>
      </c>
      <c r="F98" s="16" t="s">
        <v>683</v>
      </c>
      <c r="G98" s="16" t="s">
        <v>684</v>
      </c>
      <c r="H98" s="16" t="s">
        <v>685</v>
      </c>
      <c r="I98" s="16" t="s">
        <v>686</v>
      </c>
      <c r="J98" s="17" t="s">
        <v>687</v>
      </c>
      <c r="K98" s="15" t="s">
        <v>76</v>
      </c>
    </row>
    <row r="99" spans="1:11" ht="26.4" hidden="1" x14ac:dyDescent="0.3">
      <c r="A99" s="15">
        <v>98</v>
      </c>
      <c r="B99" s="16" t="s">
        <v>25</v>
      </c>
      <c r="C99" s="15" t="s">
        <v>53</v>
      </c>
      <c r="D99" s="16" t="s">
        <v>688</v>
      </c>
      <c r="E99" s="16" t="s">
        <v>689</v>
      </c>
      <c r="F99" s="16" t="s">
        <v>690</v>
      </c>
      <c r="G99" s="16" t="s">
        <v>691</v>
      </c>
      <c r="H99" s="16" t="s">
        <v>692</v>
      </c>
      <c r="I99" s="16" t="s">
        <v>693</v>
      </c>
      <c r="J99" s="17" t="s">
        <v>694</v>
      </c>
      <c r="K99" s="15" t="s">
        <v>76</v>
      </c>
    </row>
    <row r="100" spans="1:11" ht="39.6" hidden="1" x14ac:dyDescent="0.3">
      <c r="A100" s="15">
        <v>99</v>
      </c>
      <c r="B100" s="16" t="s">
        <v>25</v>
      </c>
      <c r="C100" s="15" t="s">
        <v>53</v>
      </c>
      <c r="D100" s="16" t="s">
        <v>695</v>
      </c>
      <c r="E100" s="16" t="s">
        <v>696</v>
      </c>
      <c r="F100" s="16" t="s">
        <v>697</v>
      </c>
      <c r="G100" s="16" t="s">
        <v>698</v>
      </c>
      <c r="H100" s="16" t="s">
        <v>699</v>
      </c>
      <c r="I100" s="16" t="s">
        <v>700</v>
      </c>
      <c r="J100" s="17" t="s">
        <v>701</v>
      </c>
      <c r="K100" s="15" t="s">
        <v>76</v>
      </c>
    </row>
    <row r="101" spans="1:11" ht="39.6" hidden="1" x14ac:dyDescent="0.3">
      <c r="A101" s="15">
        <v>100</v>
      </c>
      <c r="B101" s="16" t="s">
        <v>25</v>
      </c>
      <c r="C101" s="15" t="s">
        <v>53</v>
      </c>
      <c r="D101" s="16" t="s">
        <v>702</v>
      </c>
      <c r="E101" s="16" t="s">
        <v>703</v>
      </c>
      <c r="F101" s="16" t="s">
        <v>704</v>
      </c>
      <c r="G101" s="16" t="s">
        <v>705</v>
      </c>
      <c r="H101" s="16" t="s">
        <v>706</v>
      </c>
      <c r="I101" s="16" t="s">
        <v>707</v>
      </c>
      <c r="J101" s="17" t="s">
        <v>708</v>
      </c>
      <c r="K101" s="15" t="s">
        <v>76</v>
      </c>
    </row>
    <row r="102" spans="1:11" ht="26.4" hidden="1" x14ac:dyDescent="0.3">
      <c r="A102" s="15">
        <v>101</v>
      </c>
      <c r="B102" s="16" t="s">
        <v>25</v>
      </c>
      <c r="C102" s="15" t="s">
        <v>55</v>
      </c>
      <c r="D102" s="16" t="s">
        <v>709</v>
      </c>
      <c r="E102" s="16" t="s">
        <v>710</v>
      </c>
      <c r="F102" s="16" t="s">
        <v>711</v>
      </c>
      <c r="G102" s="16" t="s">
        <v>712</v>
      </c>
      <c r="H102" s="16" t="s">
        <v>713</v>
      </c>
      <c r="I102" s="16" t="s">
        <v>714</v>
      </c>
      <c r="J102" s="17" t="s">
        <v>715</v>
      </c>
      <c r="K102" s="15" t="s">
        <v>76</v>
      </c>
    </row>
    <row r="103" spans="1:11" ht="52.8" hidden="1" x14ac:dyDescent="0.3">
      <c r="A103" s="15">
        <v>102</v>
      </c>
      <c r="B103" s="16" t="s">
        <v>26</v>
      </c>
      <c r="C103" s="15" t="s">
        <v>53</v>
      </c>
      <c r="D103" s="16" t="s">
        <v>716</v>
      </c>
      <c r="E103" s="16" t="s">
        <v>717</v>
      </c>
      <c r="F103" s="16" t="s">
        <v>718</v>
      </c>
      <c r="G103" s="16" t="s">
        <v>719</v>
      </c>
      <c r="H103" s="16" t="s">
        <v>720</v>
      </c>
      <c r="I103" s="16" t="s">
        <v>721</v>
      </c>
      <c r="J103" s="17" t="s">
        <v>722</v>
      </c>
      <c r="K103" s="15" t="s">
        <v>76</v>
      </c>
    </row>
    <row r="104" spans="1:11" ht="39.6" hidden="1" x14ac:dyDescent="0.3">
      <c r="A104" s="15">
        <v>103</v>
      </c>
      <c r="B104" s="16" t="s">
        <v>26</v>
      </c>
      <c r="C104" s="15" t="s">
        <v>53</v>
      </c>
      <c r="D104" s="16" t="s">
        <v>723</v>
      </c>
      <c r="E104" s="16" t="s">
        <v>724</v>
      </c>
      <c r="F104" s="16" t="s">
        <v>725</v>
      </c>
      <c r="G104" s="16" t="s">
        <v>726</v>
      </c>
      <c r="H104" s="16" t="s">
        <v>727</v>
      </c>
      <c r="I104" s="16" t="s">
        <v>728</v>
      </c>
      <c r="J104" s="17" t="s">
        <v>729</v>
      </c>
      <c r="K104" s="15" t="s">
        <v>76</v>
      </c>
    </row>
    <row r="105" spans="1:11" ht="39.6" hidden="1" x14ac:dyDescent="0.3">
      <c r="A105" s="15">
        <v>104</v>
      </c>
      <c r="B105" s="16" t="s">
        <v>26</v>
      </c>
      <c r="C105" s="15" t="s">
        <v>53</v>
      </c>
      <c r="D105" s="16" t="s">
        <v>730</v>
      </c>
      <c r="E105" s="16" t="s">
        <v>731</v>
      </c>
      <c r="F105" s="16" t="s">
        <v>732</v>
      </c>
      <c r="G105" s="16" t="s">
        <v>733</v>
      </c>
      <c r="H105" s="16" t="s">
        <v>734</v>
      </c>
      <c r="I105" s="16" t="s">
        <v>735</v>
      </c>
      <c r="J105" s="17" t="s">
        <v>736</v>
      </c>
      <c r="K105" s="15" t="s">
        <v>76</v>
      </c>
    </row>
    <row r="106" spans="1:11" ht="39.6" hidden="1" x14ac:dyDescent="0.3">
      <c r="A106" s="15">
        <v>105</v>
      </c>
      <c r="B106" s="16" t="s">
        <v>26</v>
      </c>
      <c r="C106" s="15" t="s">
        <v>53</v>
      </c>
      <c r="D106" s="16" t="s">
        <v>737</v>
      </c>
      <c r="E106" s="16" t="s">
        <v>738</v>
      </c>
      <c r="F106" s="16" t="s">
        <v>739</v>
      </c>
      <c r="G106" s="16" t="s">
        <v>740</v>
      </c>
      <c r="H106" s="16" t="s">
        <v>741</v>
      </c>
      <c r="I106" s="16" t="s">
        <v>742</v>
      </c>
      <c r="J106" s="17" t="s">
        <v>743</v>
      </c>
      <c r="K106" s="15" t="s">
        <v>76</v>
      </c>
    </row>
    <row r="107" spans="1:11" ht="52.8" hidden="1" x14ac:dyDescent="0.3">
      <c r="A107" s="15">
        <v>106</v>
      </c>
      <c r="B107" s="16" t="s">
        <v>26</v>
      </c>
      <c r="C107" s="15" t="s">
        <v>53</v>
      </c>
      <c r="D107" s="18" t="s">
        <v>125</v>
      </c>
      <c r="E107" s="18" t="s">
        <v>125</v>
      </c>
      <c r="F107" s="18" t="s">
        <v>125</v>
      </c>
      <c r="G107" s="16" t="s">
        <v>744</v>
      </c>
      <c r="H107" s="16" t="s">
        <v>745</v>
      </c>
      <c r="I107" s="16" t="s">
        <v>746</v>
      </c>
      <c r="J107" s="17" t="s">
        <v>747</v>
      </c>
      <c r="K107" s="15" t="s">
        <v>76</v>
      </c>
    </row>
    <row r="108" spans="1:11" ht="39.6" hidden="1" x14ac:dyDescent="0.3">
      <c r="A108" s="15">
        <v>107</v>
      </c>
      <c r="B108" s="16" t="s">
        <v>26</v>
      </c>
      <c r="C108" s="15" t="s">
        <v>55</v>
      </c>
      <c r="D108" s="16" t="s">
        <v>748</v>
      </c>
      <c r="E108" s="16" t="s">
        <v>749</v>
      </c>
      <c r="F108" s="16" t="s">
        <v>750</v>
      </c>
      <c r="G108" s="16" t="s">
        <v>751</v>
      </c>
      <c r="H108" s="16" t="s">
        <v>752</v>
      </c>
      <c r="I108" s="16" t="s">
        <v>753</v>
      </c>
      <c r="J108" s="17" t="s">
        <v>754</v>
      </c>
      <c r="K108" s="15" t="s">
        <v>76</v>
      </c>
    </row>
    <row r="109" spans="1:11" ht="39.6" hidden="1" x14ac:dyDescent="0.3">
      <c r="A109" s="15">
        <v>108</v>
      </c>
      <c r="B109" s="16" t="s">
        <v>26</v>
      </c>
      <c r="C109" s="15" t="s">
        <v>55</v>
      </c>
      <c r="D109" s="16" t="s">
        <v>755</v>
      </c>
      <c r="E109" s="16" t="s">
        <v>756</v>
      </c>
      <c r="F109" s="16" t="s">
        <v>757</v>
      </c>
      <c r="G109" s="16" t="s">
        <v>758</v>
      </c>
      <c r="H109" s="16" t="s">
        <v>759</v>
      </c>
      <c r="I109" s="16" t="s">
        <v>760</v>
      </c>
      <c r="J109" s="17" t="s">
        <v>761</v>
      </c>
      <c r="K109" s="15" t="s">
        <v>76</v>
      </c>
    </row>
    <row r="110" spans="1:11" ht="39.6" hidden="1" x14ac:dyDescent="0.3">
      <c r="A110" s="15">
        <v>109</v>
      </c>
      <c r="B110" s="16" t="s">
        <v>26</v>
      </c>
      <c r="C110" s="15" t="s">
        <v>55</v>
      </c>
      <c r="D110" s="16" t="s">
        <v>762</v>
      </c>
      <c r="E110" s="16" t="s">
        <v>763</v>
      </c>
      <c r="F110" s="16" t="s">
        <v>764</v>
      </c>
      <c r="G110" s="16" t="s">
        <v>765</v>
      </c>
      <c r="H110" s="16" t="s">
        <v>766</v>
      </c>
      <c r="I110" s="16" t="s">
        <v>767</v>
      </c>
      <c r="J110" s="17" t="s">
        <v>768</v>
      </c>
      <c r="K110" s="15" t="s">
        <v>76</v>
      </c>
    </row>
    <row r="111" spans="1:11" ht="26.4" hidden="1" x14ac:dyDescent="0.3">
      <c r="A111" s="15">
        <v>110</v>
      </c>
      <c r="B111" s="16" t="s">
        <v>26</v>
      </c>
      <c r="C111" s="15" t="s">
        <v>55</v>
      </c>
      <c r="D111" s="16" t="s">
        <v>769</v>
      </c>
      <c r="E111" s="16" t="s">
        <v>770</v>
      </c>
      <c r="F111" s="16" t="s">
        <v>771</v>
      </c>
      <c r="G111" s="18" t="s">
        <v>125</v>
      </c>
      <c r="H111" s="18" t="s">
        <v>125</v>
      </c>
      <c r="I111" s="18" t="s">
        <v>125</v>
      </c>
      <c r="J111" s="17" t="s">
        <v>772</v>
      </c>
      <c r="K111" s="15" t="s">
        <v>76</v>
      </c>
    </row>
    <row r="112" spans="1:11" ht="39.6" hidden="1" x14ac:dyDescent="0.3">
      <c r="A112" s="15">
        <v>111</v>
      </c>
      <c r="B112" s="16" t="s">
        <v>27</v>
      </c>
      <c r="C112" s="15" t="s">
        <v>53</v>
      </c>
      <c r="D112" s="16" t="s">
        <v>773</v>
      </c>
      <c r="E112" s="16" t="s">
        <v>774</v>
      </c>
      <c r="F112" s="16" t="s">
        <v>775</v>
      </c>
      <c r="G112" s="16" t="s">
        <v>776</v>
      </c>
      <c r="H112" s="16" t="s">
        <v>777</v>
      </c>
      <c r="I112" s="16" t="s">
        <v>778</v>
      </c>
      <c r="J112" s="17" t="s">
        <v>779</v>
      </c>
      <c r="K112" s="15" t="s">
        <v>76</v>
      </c>
    </row>
    <row r="113" spans="1:11" ht="39.6" hidden="1" x14ac:dyDescent="0.3">
      <c r="A113" s="15">
        <v>112</v>
      </c>
      <c r="B113" s="16" t="s">
        <v>27</v>
      </c>
      <c r="C113" s="15" t="s">
        <v>53</v>
      </c>
      <c r="D113" s="16" t="s">
        <v>780</v>
      </c>
      <c r="E113" s="16" t="s">
        <v>781</v>
      </c>
      <c r="F113" s="16" t="s">
        <v>782</v>
      </c>
      <c r="G113" s="16" t="s">
        <v>783</v>
      </c>
      <c r="H113" s="16" t="s">
        <v>784</v>
      </c>
      <c r="I113" s="16" t="s">
        <v>785</v>
      </c>
      <c r="J113" s="17" t="s">
        <v>786</v>
      </c>
      <c r="K113" s="15" t="s">
        <v>76</v>
      </c>
    </row>
    <row r="114" spans="1:11" ht="39.6" hidden="1" x14ac:dyDescent="0.3">
      <c r="A114" s="15">
        <v>113</v>
      </c>
      <c r="B114" s="16" t="s">
        <v>27</v>
      </c>
      <c r="C114" s="15" t="s">
        <v>55</v>
      </c>
      <c r="D114" s="16" t="s">
        <v>787</v>
      </c>
      <c r="E114" s="16" t="s">
        <v>788</v>
      </c>
      <c r="F114" s="16" t="s">
        <v>789</v>
      </c>
      <c r="G114" s="18" t="s">
        <v>125</v>
      </c>
      <c r="H114" s="18" t="s">
        <v>790</v>
      </c>
      <c r="I114" s="18" t="s">
        <v>125</v>
      </c>
      <c r="J114" s="17" t="s">
        <v>791</v>
      </c>
      <c r="K114" s="15" t="s">
        <v>76</v>
      </c>
    </row>
    <row r="115" spans="1:11" ht="39.6" hidden="1" x14ac:dyDescent="0.3">
      <c r="A115" s="15">
        <v>114</v>
      </c>
      <c r="B115" s="16" t="s">
        <v>27</v>
      </c>
      <c r="C115" s="15" t="s">
        <v>55</v>
      </c>
      <c r="D115" s="16" t="s">
        <v>792</v>
      </c>
      <c r="E115" s="16" t="s">
        <v>793</v>
      </c>
      <c r="F115" s="16" t="s">
        <v>794</v>
      </c>
      <c r="G115" s="18" t="s">
        <v>795</v>
      </c>
      <c r="H115" s="18" t="s">
        <v>796</v>
      </c>
      <c r="I115" s="18" t="s">
        <v>125</v>
      </c>
      <c r="J115" s="17" t="s">
        <v>797</v>
      </c>
      <c r="K115" s="15" t="s">
        <v>76</v>
      </c>
    </row>
    <row r="116" spans="1:11" ht="39.6" hidden="1" x14ac:dyDescent="0.3">
      <c r="A116" s="15">
        <v>115</v>
      </c>
      <c r="B116" s="16" t="s">
        <v>27</v>
      </c>
      <c r="C116" s="15" t="s">
        <v>55</v>
      </c>
      <c r="D116" s="16" t="s">
        <v>798</v>
      </c>
      <c r="E116" s="16" t="s">
        <v>799</v>
      </c>
      <c r="F116" s="16" t="s">
        <v>800</v>
      </c>
      <c r="G116" s="16" t="s">
        <v>801</v>
      </c>
      <c r="H116" s="16" t="s">
        <v>802</v>
      </c>
      <c r="I116" s="16" t="s">
        <v>803</v>
      </c>
      <c r="J116" s="17" t="s">
        <v>804</v>
      </c>
      <c r="K116" s="15" t="s">
        <v>76</v>
      </c>
    </row>
    <row r="117" spans="1:11" ht="39.6" hidden="1" x14ac:dyDescent="0.3">
      <c r="A117" s="15">
        <v>116</v>
      </c>
      <c r="B117" s="16" t="s">
        <v>27</v>
      </c>
      <c r="C117" s="15" t="s">
        <v>55</v>
      </c>
      <c r="D117" s="16" t="s">
        <v>805</v>
      </c>
      <c r="E117" s="16" t="s">
        <v>806</v>
      </c>
      <c r="F117" s="16" t="s">
        <v>807</v>
      </c>
      <c r="G117" s="16" t="s">
        <v>808</v>
      </c>
      <c r="H117" s="16" t="s">
        <v>809</v>
      </c>
      <c r="I117" s="16" t="s">
        <v>810</v>
      </c>
      <c r="J117" s="17" t="s">
        <v>811</v>
      </c>
      <c r="K117" s="15" t="s">
        <v>76</v>
      </c>
    </row>
    <row r="118" spans="1:11" ht="39.6" hidden="1" x14ac:dyDescent="0.3">
      <c r="A118" s="15">
        <v>117</v>
      </c>
      <c r="B118" s="16" t="s">
        <v>27</v>
      </c>
      <c r="C118" s="15" t="s">
        <v>55</v>
      </c>
      <c r="D118" s="16" t="s">
        <v>812</v>
      </c>
      <c r="E118" s="16" t="s">
        <v>813</v>
      </c>
      <c r="F118" s="16" t="s">
        <v>814</v>
      </c>
      <c r="G118" s="18" t="s">
        <v>125</v>
      </c>
      <c r="H118" s="18" t="s">
        <v>815</v>
      </c>
      <c r="I118" s="18" t="s">
        <v>125</v>
      </c>
      <c r="J118" s="17" t="s">
        <v>816</v>
      </c>
      <c r="K118" s="15" t="s">
        <v>76</v>
      </c>
    </row>
    <row r="119" spans="1:11" ht="26.4" hidden="1" x14ac:dyDescent="0.3">
      <c r="A119" s="15">
        <v>118</v>
      </c>
      <c r="B119" s="16" t="s">
        <v>28</v>
      </c>
      <c r="C119" s="15" t="s">
        <v>53</v>
      </c>
      <c r="D119" s="16" t="s">
        <v>817</v>
      </c>
      <c r="E119" s="16" t="s">
        <v>818</v>
      </c>
      <c r="F119" s="16" t="s">
        <v>819</v>
      </c>
      <c r="G119" s="18" t="s">
        <v>820</v>
      </c>
      <c r="H119" s="18" t="s">
        <v>821</v>
      </c>
      <c r="I119" s="18" t="s">
        <v>125</v>
      </c>
      <c r="J119" s="17" t="s">
        <v>822</v>
      </c>
      <c r="K119" s="15" t="s">
        <v>76</v>
      </c>
    </row>
    <row r="120" spans="1:11" ht="26.4" hidden="1" x14ac:dyDescent="0.3">
      <c r="A120" s="15">
        <v>119</v>
      </c>
      <c r="B120" s="16" t="s">
        <v>28</v>
      </c>
      <c r="C120" s="15" t="s">
        <v>55</v>
      </c>
      <c r="D120" s="16" t="s">
        <v>823</v>
      </c>
      <c r="E120" s="16" t="s">
        <v>824</v>
      </c>
      <c r="F120" s="16" t="s">
        <v>825</v>
      </c>
      <c r="G120" s="16" t="s">
        <v>826</v>
      </c>
      <c r="H120" s="16" t="s">
        <v>827</v>
      </c>
      <c r="I120" s="16" t="s">
        <v>828</v>
      </c>
      <c r="J120" s="17" t="s">
        <v>829</v>
      </c>
      <c r="K120" s="15" t="s">
        <v>76</v>
      </c>
    </row>
    <row r="121" spans="1:11" ht="39.6" hidden="1" x14ac:dyDescent="0.3">
      <c r="A121" s="15">
        <v>120</v>
      </c>
      <c r="B121" s="16" t="s">
        <v>29</v>
      </c>
      <c r="C121" s="15" t="s">
        <v>53</v>
      </c>
      <c r="D121" s="16" t="s">
        <v>830</v>
      </c>
      <c r="E121" s="16" t="s">
        <v>831</v>
      </c>
      <c r="F121" s="16" t="s">
        <v>832</v>
      </c>
      <c r="G121" s="16" t="s">
        <v>833</v>
      </c>
      <c r="H121" s="16" t="s">
        <v>834</v>
      </c>
      <c r="I121" s="16" t="s">
        <v>835</v>
      </c>
      <c r="J121" s="17" t="s">
        <v>836</v>
      </c>
      <c r="K121" s="15" t="s">
        <v>76</v>
      </c>
    </row>
    <row r="122" spans="1:11" ht="39.6" hidden="1" x14ac:dyDescent="0.3">
      <c r="A122" s="15">
        <v>121</v>
      </c>
      <c r="B122" s="16" t="s">
        <v>29</v>
      </c>
      <c r="C122" s="15" t="s">
        <v>53</v>
      </c>
      <c r="D122" s="16" t="s">
        <v>837</v>
      </c>
      <c r="E122" s="16" t="s">
        <v>838</v>
      </c>
      <c r="F122" s="16" t="s">
        <v>839</v>
      </c>
      <c r="G122" s="16" t="s">
        <v>840</v>
      </c>
      <c r="H122" s="16" t="s">
        <v>841</v>
      </c>
      <c r="I122" s="16" t="s">
        <v>842</v>
      </c>
      <c r="J122" s="17" t="s">
        <v>843</v>
      </c>
      <c r="K122" s="15" t="s">
        <v>76</v>
      </c>
    </row>
    <row r="123" spans="1:11" ht="26.4" hidden="1" x14ac:dyDescent="0.3">
      <c r="A123" s="15">
        <v>122</v>
      </c>
      <c r="B123" s="16" t="s">
        <v>29</v>
      </c>
      <c r="C123" s="15" t="s">
        <v>53</v>
      </c>
      <c r="D123" s="16" t="s">
        <v>844</v>
      </c>
      <c r="E123" s="16" t="s">
        <v>845</v>
      </c>
      <c r="F123" s="16" t="s">
        <v>846</v>
      </c>
      <c r="G123" s="16" t="s">
        <v>847</v>
      </c>
      <c r="H123" s="16" t="s">
        <v>848</v>
      </c>
      <c r="I123" s="16" t="s">
        <v>849</v>
      </c>
      <c r="J123" s="17" t="s">
        <v>850</v>
      </c>
      <c r="K123" s="15" t="s">
        <v>76</v>
      </c>
    </row>
    <row r="124" spans="1:11" ht="52.8" hidden="1" x14ac:dyDescent="0.3">
      <c r="A124" s="15">
        <v>123</v>
      </c>
      <c r="B124" s="16" t="s">
        <v>30</v>
      </c>
      <c r="C124" s="15" t="s">
        <v>53</v>
      </c>
      <c r="D124" s="16" t="s">
        <v>851</v>
      </c>
      <c r="E124" s="16" t="s">
        <v>852</v>
      </c>
      <c r="F124" s="16" t="s">
        <v>853</v>
      </c>
      <c r="G124" s="16" t="s">
        <v>854</v>
      </c>
      <c r="H124" s="16" t="s">
        <v>855</v>
      </c>
      <c r="I124" s="16" t="s">
        <v>856</v>
      </c>
      <c r="J124" s="17" t="s">
        <v>857</v>
      </c>
      <c r="K124" s="15" t="s">
        <v>76</v>
      </c>
    </row>
    <row r="125" spans="1:11" ht="39.6" hidden="1" x14ac:dyDescent="0.3">
      <c r="A125" s="15">
        <v>124</v>
      </c>
      <c r="B125" s="16" t="s">
        <v>30</v>
      </c>
      <c r="C125" s="15" t="s">
        <v>53</v>
      </c>
      <c r="D125" s="16" t="s">
        <v>858</v>
      </c>
      <c r="E125" s="16" t="s">
        <v>859</v>
      </c>
      <c r="F125" s="16" t="s">
        <v>860</v>
      </c>
      <c r="G125" s="16" t="s">
        <v>861</v>
      </c>
      <c r="H125" s="16" t="s">
        <v>862</v>
      </c>
      <c r="I125" s="16" t="s">
        <v>863</v>
      </c>
      <c r="J125" s="17" t="s">
        <v>864</v>
      </c>
      <c r="K125" s="15" t="s">
        <v>76</v>
      </c>
    </row>
    <row r="126" spans="1:11" ht="26.4" hidden="1" x14ac:dyDescent="0.3">
      <c r="A126" s="15">
        <v>125</v>
      </c>
      <c r="B126" s="16" t="s">
        <v>30</v>
      </c>
      <c r="C126" s="15" t="s">
        <v>55</v>
      </c>
      <c r="D126" s="16" t="s">
        <v>865</v>
      </c>
      <c r="E126" s="16" t="s">
        <v>866</v>
      </c>
      <c r="F126" s="16" t="s">
        <v>867</v>
      </c>
      <c r="G126" s="16" t="s">
        <v>868</v>
      </c>
      <c r="H126" s="16" t="s">
        <v>869</v>
      </c>
      <c r="I126" s="16" t="s">
        <v>870</v>
      </c>
      <c r="J126" s="17" t="s">
        <v>871</v>
      </c>
      <c r="K126" s="15" t="s">
        <v>76</v>
      </c>
    </row>
    <row r="127" spans="1:11" ht="26.4" hidden="1" x14ac:dyDescent="0.3">
      <c r="A127" s="15">
        <v>126</v>
      </c>
      <c r="B127" s="16" t="s">
        <v>30</v>
      </c>
      <c r="C127" s="15" t="s">
        <v>55</v>
      </c>
      <c r="D127" s="16" t="s">
        <v>872</v>
      </c>
      <c r="E127" s="16" t="s">
        <v>873</v>
      </c>
      <c r="F127" s="16" t="s">
        <v>874</v>
      </c>
      <c r="G127" s="16" t="s">
        <v>875</v>
      </c>
      <c r="H127" s="16" t="s">
        <v>876</v>
      </c>
      <c r="I127" s="16" t="s">
        <v>877</v>
      </c>
      <c r="J127" s="17" t="s">
        <v>878</v>
      </c>
      <c r="K127" s="15" t="s">
        <v>76</v>
      </c>
    </row>
    <row r="128" spans="1:11" ht="39.6" hidden="1" x14ac:dyDescent="0.3">
      <c r="A128" s="15">
        <v>127</v>
      </c>
      <c r="B128" s="16" t="s">
        <v>31</v>
      </c>
      <c r="C128" s="15" t="s">
        <v>53</v>
      </c>
      <c r="D128" s="16" t="s">
        <v>879</v>
      </c>
      <c r="E128" s="16" t="s">
        <v>880</v>
      </c>
      <c r="F128" s="16" t="s">
        <v>881</v>
      </c>
      <c r="G128" s="16" t="s">
        <v>882</v>
      </c>
      <c r="H128" s="16" t="s">
        <v>883</v>
      </c>
      <c r="I128" s="16" t="s">
        <v>884</v>
      </c>
      <c r="J128" s="17" t="s">
        <v>885</v>
      </c>
      <c r="K128" s="15" t="s">
        <v>76</v>
      </c>
    </row>
    <row r="129" spans="1:11" ht="39.6" hidden="1" x14ac:dyDescent="0.3">
      <c r="A129" s="15">
        <v>128</v>
      </c>
      <c r="B129" s="16" t="s">
        <v>31</v>
      </c>
      <c r="C129" s="15" t="s">
        <v>55</v>
      </c>
      <c r="D129" s="16" t="s">
        <v>886</v>
      </c>
      <c r="E129" s="16" t="s">
        <v>887</v>
      </c>
      <c r="F129" s="16" t="s">
        <v>888</v>
      </c>
      <c r="G129" s="16" t="s">
        <v>889</v>
      </c>
      <c r="H129" s="16" t="s">
        <v>890</v>
      </c>
      <c r="I129" s="16" t="s">
        <v>891</v>
      </c>
      <c r="J129" s="17" t="s">
        <v>892</v>
      </c>
      <c r="K129" s="15" t="s">
        <v>76</v>
      </c>
    </row>
    <row r="130" spans="1:11" ht="26.4" hidden="1" x14ac:dyDescent="0.3">
      <c r="A130" s="15">
        <v>129</v>
      </c>
      <c r="B130" s="16" t="s">
        <v>31</v>
      </c>
      <c r="C130" s="15" t="s">
        <v>55</v>
      </c>
      <c r="D130" s="16" t="s">
        <v>893</v>
      </c>
      <c r="E130" s="16" t="s">
        <v>894</v>
      </c>
      <c r="F130" s="16" t="s">
        <v>895</v>
      </c>
      <c r="G130" s="18" t="s">
        <v>125</v>
      </c>
      <c r="H130" s="18" t="s">
        <v>896</v>
      </c>
      <c r="I130" s="18" t="s">
        <v>125</v>
      </c>
      <c r="J130" s="17" t="s">
        <v>897</v>
      </c>
      <c r="K130" s="15" t="s">
        <v>76</v>
      </c>
    </row>
    <row r="131" spans="1:11" ht="39.6" hidden="1" x14ac:dyDescent="0.3">
      <c r="A131" s="15">
        <v>130</v>
      </c>
      <c r="B131" s="16" t="s">
        <v>31</v>
      </c>
      <c r="C131" s="15" t="s">
        <v>55</v>
      </c>
      <c r="D131" s="16" t="s">
        <v>898</v>
      </c>
      <c r="E131" s="16" t="s">
        <v>899</v>
      </c>
      <c r="F131" s="16" t="s">
        <v>900</v>
      </c>
      <c r="G131" s="16" t="s">
        <v>901</v>
      </c>
      <c r="H131" s="16" t="s">
        <v>902</v>
      </c>
      <c r="I131" s="16" t="s">
        <v>903</v>
      </c>
      <c r="J131" s="17" t="s">
        <v>904</v>
      </c>
      <c r="K131" s="15" t="s">
        <v>76</v>
      </c>
    </row>
    <row r="132" spans="1:11" ht="39.6" hidden="1" x14ac:dyDescent="0.3">
      <c r="A132" s="15">
        <v>131</v>
      </c>
      <c r="B132" s="16" t="s">
        <v>32</v>
      </c>
      <c r="C132" s="15" t="s">
        <v>53</v>
      </c>
      <c r="D132" s="16" t="s">
        <v>905</v>
      </c>
      <c r="E132" s="16" t="s">
        <v>906</v>
      </c>
      <c r="F132" s="16" t="s">
        <v>907</v>
      </c>
      <c r="G132" s="18" t="s">
        <v>125</v>
      </c>
      <c r="H132" s="18" t="s">
        <v>908</v>
      </c>
      <c r="I132" s="18" t="s">
        <v>125</v>
      </c>
      <c r="J132" s="17" t="s">
        <v>909</v>
      </c>
      <c r="K132" s="15" t="s">
        <v>76</v>
      </c>
    </row>
    <row r="133" spans="1:11" ht="52.8" hidden="1" x14ac:dyDescent="0.3">
      <c r="A133" s="15">
        <v>132</v>
      </c>
      <c r="B133" s="16" t="s">
        <v>32</v>
      </c>
      <c r="C133" s="15" t="s">
        <v>53</v>
      </c>
      <c r="D133" s="16" t="s">
        <v>910</v>
      </c>
      <c r="E133" s="16" t="s">
        <v>911</v>
      </c>
      <c r="F133" s="16" t="s">
        <v>912</v>
      </c>
      <c r="G133" s="18" t="s">
        <v>913</v>
      </c>
      <c r="H133" s="18" t="s">
        <v>914</v>
      </c>
      <c r="I133" s="18" t="s">
        <v>125</v>
      </c>
      <c r="J133" s="17" t="s">
        <v>915</v>
      </c>
      <c r="K133" s="15" t="s">
        <v>76</v>
      </c>
    </row>
    <row r="134" spans="1:11" ht="39.6" x14ac:dyDescent="0.3">
      <c r="A134" s="15">
        <v>133</v>
      </c>
      <c r="B134" s="16" t="s">
        <v>32</v>
      </c>
      <c r="C134" s="15" t="s">
        <v>51</v>
      </c>
      <c r="D134" s="16" t="s">
        <v>916</v>
      </c>
      <c r="E134" s="16" t="s">
        <v>917</v>
      </c>
      <c r="F134" s="16" t="s">
        <v>918</v>
      </c>
      <c r="G134" s="16" t="s">
        <v>919</v>
      </c>
      <c r="H134" s="16" t="s">
        <v>920</v>
      </c>
      <c r="I134" s="16" t="s">
        <v>921</v>
      </c>
      <c r="J134" s="17" t="s">
        <v>922</v>
      </c>
      <c r="K134" s="15" t="s">
        <v>76</v>
      </c>
    </row>
    <row r="135" spans="1:11" ht="52.8" x14ac:dyDescent="0.3">
      <c r="A135" s="15">
        <v>134</v>
      </c>
      <c r="B135" s="16" t="s">
        <v>32</v>
      </c>
      <c r="C135" s="15" t="s">
        <v>51</v>
      </c>
      <c r="D135" s="16" t="s">
        <v>923</v>
      </c>
      <c r="E135" s="16" t="s">
        <v>924</v>
      </c>
      <c r="F135" s="16" t="s">
        <v>925</v>
      </c>
      <c r="G135" s="16" t="s">
        <v>926</v>
      </c>
      <c r="H135" s="16" t="s">
        <v>927</v>
      </c>
      <c r="I135" s="16" t="s">
        <v>928</v>
      </c>
      <c r="J135" s="17" t="s">
        <v>929</v>
      </c>
      <c r="K135" s="15" t="s">
        <v>76</v>
      </c>
    </row>
    <row r="136" spans="1:11" ht="26.4" hidden="1" x14ac:dyDescent="0.3">
      <c r="A136" s="15">
        <v>135</v>
      </c>
      <c r="B136" s="16" t="s">
        <v>32</v>
      </c>
      <c r="C136" s="15" t="s">
        <v>53</v>
      </c>
      <c r="D136" s="16" t="s">
        <v>930</v>
      </c>
      <c r="E136" s="16" t="s">
        <v>931</v>
      </c>
      <c r="F136" s="16" t="s">
        <v>932</v>
      </c>
      <c r="G136" s="16" t="s">
        <v>933</v>
      </c>
      <c r="H136" s="16" t="s">
        <v>934</v>
      </c>
      <c r="I136" s="16" t="s">
        <v>935</v>
      </c>
      <c r="J136" s="17" t="s">
        <v>936</v>
      </c>
      <c r="K136" s="15" t="s">
        <v>76</v>
      </c>
    </row>
    <row r="137" spans="1:11" ht="39.6" hidden="1" x14ac:dyDescent="0.3">
      <c r="A137" s="15">
        <v>136</v>
      </c>
      <c r="B137" s="16" t="s">
        <v>32</v>
      </c>
      <c r="C137" s="15" t="s">
        <v>53</v>
      </c>
      <c r="D137" s="16" t="s">
        <v>937</v>
      </c>
      <c r="E137" s="16" t="s">
        <v>938</v>
      </c>
      <c r="F137" s="16" t="s">
        <v>939</v>
      </c>
      <c r="G137" s="16" t="s">
        <v>940</v>
      </c>
      <c r="H137" s="16" t="s">
        <v>941</v>
      </c>
      <c r="I137" s="16" t="s">
        <v>942</v>
      </c>
      <c r="J137" s="17" t="s">
        <v>943</v>
      </c>
      <c r="K137" s="15" t="s">
        <v>76</v>
      </c>
    </row>
    <row r="138" spans="1:11" ht="26.4" hidden="1" x14ac:dyDescent="0.3">
      <c r="A138" s="15">
        <v>137</v>
      </c>
      <c r="B138" s="16" t="s">
        <v>32</v>
      </c>
      <c r="C138" s="15" t="s">
        <v>53</v>
      </c>
      <c r="D138" s="16" t="s">
        <v>944</v>
      </c>
      <c r="E138" s="16" t="s">
        <v>945</v>
      </c>
      <c r="F138" s="16" t="s">
        <v>946</v>
      </c>
      <c r="G138" s="16" t="s">
        <v>947</v>
      </c>
      <c r="H138" s="16" t="s">
        <v>948</v>
      </c>
      <c r="I138" s="16" t="s">
        <v>949</v>
      </c>
      <c r="J138" s="17" t="s">
        <v>950</v>
      </c>
      <c r="K138" s="15" t="s">
        <v>76</v>
      </c>
    </row>
    <row r="139" spans="1:11" ht="26.4" hidden="1" x14ac:dyDescent="0.3">
      <c r="A139" s="15">
        <v>138</v>
      </c>
      <c r="B139" s="16" t="s">
        <v>32</v>
      </c>
      <c r="C139" s="15" t="s">
        <v>55</v>
      </c>
      <c r="D139" s="16" t="s">
        <v>951</v>
      </c>
      <c r="E139" s="16" t="s">
        <v>952</v>
      </c>
      <c r="F139" s="16" t="s">
        <v>953</v>
      </c>
      <c r="G139" s="16" t="s">
        <v>954</v>
      </c>
      <c r="H139" s="16" t="s">
        <v>955</v>
      </c>
      <c r="I139" s="16" t="s">
        <v>956</v>
      </c>
      <c r="J139" s="17" t="s">
        <v>957</v>
      </c>
      <c r="K139" s="15" t="s">
        <v>76</v>
      </c>
    </row>
    <row r="140" spans="1:11" hidden="1" x14ac:dyDescent="0.3">
      <c r="A140" s="15">
        <v>139</v>
      </c>
      <c r="B140" s="16" t="s">
        <v>32</v>
      </c>
      <c r="C140" s="15" t="s">
        <v>55</v>
      </c>
      <c r="D140" s="16" t="s">
        <v>958</v>
      </c>
      <c r="E140" s="16" t="s">
        <v>959</v>
      </c>
      <c r="F140" s="16" t="s">
        <v>960</v>
      </c>
      <c r="G140" s="16" t="s">
        <v>961</v>
      </c>
      <c r="H140" s="16" t="s">
        <v>962</v>
      </c>
      <c r="I140" s="16" t="s">
        <v>963</v>
      </c>
      <c r="J140" s="17" t="s">
        <v>964</v>
      </c>
      <c r="K140" s="15" t="s">
        <v>76</v>
      </c>
    </row>
    <row r="141" spans="1:11" ht="26.4" hidden="1" x14ac:dyDescent="0.3">
      <c r="A141" s="15">
        <v>140</v>
      </c>
      <c r="B141" s="16" t="s">
        <v>32</v>
      </c>
      <c r="C141" s="15" t="s">
        <v>55</v>
      </c>
      <c r="D141" s="16" t="s">
        <v>965</v>
      </c>
      <c r="E141" s="16" t="s">
        <v>966</v>
      </c>
      <c r="F141" s="16" t="s">
        <v>967</v>
      </c>
      <c r="G141" s="16" t="s">
        <v>968</v>
      </c>
      <c r="H141" s="16" t="s">
        <v>969</v>
      </c>
      <c r="I141" s="16" t="s">
        <v>970</v>
      </c>
      <c r="J141" s="17" t="s">
        <v>971</v>
      </c>
      <c r="K141" s="15" t="s">
        <v>76</v>
      </c>
    </row>
    <row r="142" spans="1:11" ht="26.4" hidden="1" x14ac:dyDescent="0.3">
      <c r="A142" s="15">
        <v>141</v>
      </c>
      <c r="B142" s="16" t="s">
        <v>32</v>
      </c>
      <c r="C142" s="15" t="s">
        <v>55</v>
      </c>
      <c r="D142" s="16" t="s">
        <v>972</v>
      </c>
      <c r="E142" s="16" t="s">
        <v>973</v>
      </c>
      <c r="F142" s="16" t="s">
        <v>974</v>
      </c>
      <c r="G142" s="18" t="s">
        <v>975</v>
      </c>
      <c r="H142" s="18" t="s">
        <v>976</v>
      </c>
      <c r="I142" s="18" t="s">
        <v>125</v>
      </c>
      <c r="J142" s="17" t="s">
        <v>977</v>
      </c>
      <c r="K142" s="15" t="s">
        <v>76</v>
      </c>
    </row>
    <row r="143" spans="1:11" ht="26.4" hidden="1" x14ac:dyDescent="0.3">
      <c r="A143" s="15">
        <v>142</v>
      </c>
      <c r="B143" s="16" t="s">
        <v>33</v>
      </c>
      <c r="C143" s="15" t="s">
        <v>55</v>
      </c>
      <c r="D143" s="16" t="s">
        <v>978</v>
      </c>
      <c r="E143" s="16" t="s">
        <v>979</v>
      </c>
      <c r="F143" s="16" t="s">
        <v>980</v>
      </c>
      <c r="G143" s="16" t="s">
        <v>981</v>
      </c>
      <c r="H143" s="16" t="s">
        <v>982</v>
      </c>
      <c r="I143" s="16" t="s">
        <v>983</v>
      </c>
      <c r="J143" s="17" t="s">
        <v>984</v>
      </c>
      <c r="K143" s="15" t="s">
        <v>76</v>
      </c>
    </row>
    <row r="144" spans="1:11" ht="26.4" hidden="1" x14ac:dyDescent="0.3">
      <c r="A144" s="15">
        <v>143</v>
      </c>
      <c r="B144" s="16" t="s">
        <v>34</v>
      </c>
      <c r="C144" s="15" t="s">
        <v>55</v>
      </c>
      <c r="D144" s="16" t="s">
        <v>985</v>
      </c>
      <c r="E144" s="16" t="s">
        <v>986</v>
      </c>
      <c r="F144" s="16" t="s">
        <v>987</v>
      </c>
      <c r="G144" s="16" t="s">
        <v>988</v>
      </c>
      <c r="H144" s="16" t="s">
        <v>989</v>
      </c>
      <c r="I144" s="16" t="s">
        <v>990</v>
      </c>
      <c r="J144" s="17" t="s">
        <v>991</v>
      </c>
      <c r="K144" s="15" t="s">
        <v>76</v>
      </c>
    </row>
    <row r="145" spans="1:11" ht="39.6" hidden="1" x14ac:dyDescent="0.3">
      <c r="A145" s="15">
        <v>144</v>
      </c>
      <c r="B145" s="16" t="s">
        <v>35</v>
      </c>
      <c r="C145" s="15" t="s">
        <v>51</v>
      </c>
      <c r="D145" s="18" t="s">
        <v>125</v>
      </c>
      <c r="E145" s="18" t="s">
        <v>125</v>
      </c>
      <c r="F145" s="18" t="s">
        <v>125</v>
      </c>
      <c r="G145" s="16" t="s">
        <v>992</v>
      </c>
      <c r="H145" s="16" t="s">
        <v>993</v>
      </c>
      <c r="I145" s="16" t="s">
        <v>994</v>
      </c>
      <c r="J145" s="17" t="s">
        <v>995</v>
      </c>
      <c r="K145" s="15" t="s">
        <v>76</v>
      </c>
    </row>
    <row r="146" spans="1:11" ht="39.6" hidden="1" x14ac:dyDescent="0.3">
      <c r="A146" s="15">
        <v>145</v>
      </c>
      <c r="B146" s="16" t="s">
        <v>35</v>
      </c>
      <c r="C146" s="15" t="s">
        <v>51</v>
      </c>
      <c r="D146" s="18" t="s">
        <v>125</v>
      </c>
      <c r="E146" s="18" t="s">
        <v>125</v>
      </c>
      <c r="F146" s="18" t="s">
        <v>125</v>
      </c>
      <c r="G146" s="16" t="s">
        <v>996</v>
      </c>
      <c r="H146" s="16" t="s">
        <v>997</v>
      </c>
      <c r="I146" s="16" t="s">
        <v>998</v>
      </c>
      <c r="J146" s="17" t="s">
        <v>999</v>
      </c>
      <c r="K146" s="15" t="s">
        <v>76</v>
      </c>
    </row>
    <row r="147" spans="1:11" ht="39.6" hidden="1" x14ac:dyDescent="0.3">
      <c r="A147" s="15">
        <v>146</v>
      </c>
      <c r="B147" s="16" t="s">
        <v>35</v>
      </c>
      <c r="C147" s="15" t="s">
        <v>53</v>
      </c>
      <c r="D147" s="18" t="s">
        <v>125</v>
      </c>
      <c r="E147" s="18" t="s">
        <v>125</v>
      </c>
      <c r="F147" s="18" t="s">
        <v>125</v>
      </c>
      <c r="G147" s="16" t="s">
        <v>1000</v>
      </c>
      <c r="H147" s="16" t="s">
        <v>1001</v>
      </c>
      <c r="I147" s="16" t="s">
        <v>1002</v>
      </c>
      <c r="J147" s="17" t="s">
        <v>1003</v>
      </c>
      <c r="K147" s="15" t="s">
        <v>76</v>
      </c>
    </row>
    <row r="148" spans="1:11" ht="26.4" hidden="1" x14ac:dyDescent="0.3">
      <c r="A148" s="15">
        <v>147</v>
      </c>
      <c r="B148" s="16" t="s">
        <v>35</v>
      </c>
      <c r="C148" s="15" t="s">
        <v>53</v>
      </c>
      <c r="D148" s="18" t="s">
        <v>125</v>
      </c>
      <c r="E148" s="18" t="s">
        <v>125</v>
      </c>
      <c r="F148" s="18" t="s">
        <v>125</v>
      </c>
      <c r="G148" s="16" t="s">
        <v>1004</v>
      </c>
      <c r="H148" s="16" t="s">
        <v>1005</v>
      </c>
      <c r="I148" s="16" t="s">
        <v>1006</v>
      </c>
      <c r="J148" s="17" t="s">
        <v>1007</v>
      </c>
      <c r="K148" s="15" t="s">
        <v>76</v>
      </c>
    </row>
    <row r="149" spans="1:11" ht="39.6" hidden="1" x14ac:dyDescent="0.3">
      <c r="A149" s="15">
        <v>148</v>
      </c>
      <c r="B149" s="16" t="s">
        <v>35</v>
      </c>
      <c r="C149" s="15" t="s">
        <v>53</v>
      </c>
      <c r="D149" s="18" t="s">
        <v>125</v>
      </c>
      <c r="E149" s="18" t="s">
        <v>125</v>
      </c>
      <c r="F149" s="18" t="s">
        <v>125</v>
      </c>
      <c r="G149" s="16" t="s">
        <v>1008</v>
      </c>
      <c r="H149" s="16" t="s">
        <v>1009</v>
      </c>
      <c r="I149" s="16" t="s">
        <v>1010</v>
      </c>
      <c r="J149" s="17" t="s">
        <v>1011</v>
      </c>
      <c r="K149" s="15" t="s">
        <v>76</v>
      </c>
    </row>
    <row r="150" spans="1:11" ht="26.4" hidden="1" x14ac:dyDescent="0.3">
      <c r="A150" s="15">
        <v>149</v>
      </c>
      <c r="B150" s="16" t="s">
        <v>35</v>
      </c>
      <c r="C150" s="15" t="s">
        <v>55</v>
      </c>
      <c r="D150" s="18" t="s">
        <v>125</v>
      </c>
      <c r="E150" s="18" t="s">
        <v>125</v>
      </c>
      <c r="F150" s="18" t="s">
        <v>125</v>
      </c>
      <c r="G150" s="16" t="s">
        <v>1012</v>
      </c>
      <c r="H150" s="16" t="s">
        <v>1013</v>
      </c>
      <c r="I150" s="16" t="s">
        <v>1014</v>
      </c>
      <c r="J150" s="17" t="s">
        <v>1015</v>
      </c>
      <c r="K150" s="15" t="s">
        <v>76</v>
      </c>
    </row>
    <row r="151" spans="1:11" ht="26.4" hidden="1" x14ac:dyDescent="0.3">
      <c r="A151" s="15">
        <v>150</v>
      </c>
      <c r="B151" s="16" t="s">
        <v>36</v>
      </c>
      <c r="C151" s="15" t="s">
        <v>53</v>
      </c>
      <c r="D151" s="18" t="s">
        <v>125</v>
      </c>
      <c r="E151" s="18" t="s">
        <v>125</v>
      </c>
      <c r="F151" s="18" t="s">
        <v>125</v>
      </c>
      <c r="G151" s="16" t="s">
        <v>1016</v>
      </c>
      <c r="H151" s="16" t="s">
        <v>1017</v>
      </c>
      <c r="I151" s="16" t="s">
        <v>1018</v>
      </c>
      <c r="J151" s="17" t="s">
        <v>1019</v>
      </c>
      <c r="K151" s="15" t="s">
        <v>76</v>
      </c>
    </row>
    <row r="152" spans="1:11" ht="39.6" hidden="1" x14ac:dyDescent="0.3">
      <c r="A152" s="15">
        <v>151</v>
      </c>
      <c r="B152" s="16" t="s">
        <v>36</v>
      </c>
      <c r="C152" s="15" t="s">
        <v>53</v>
      </c>
      <c r="D152" s="18" t="s">
        <v>125</v>
      </c>
      <c r="E152" s="18" t="s">
        <v>125</v>
      </c>
      <c r="F152" s="18" t="s">
        <v>125</v>
      </c>
      <c r="G152" s="16" t="s">
        <v>1020</v>
      </c>
      <c r="H152" s="16" t="s">
        <v>1021</v>
      </c>
      <c r="I152" s="16" t="s">
        <v>1022</v>
      </c>
      <c r="J152" s="17" t="s">
        <v>1023</v>
      </c>
      <c r="K152" s="15" t="s">
        <v>76</v>
      </c>
    </row>
    <row r="153" spans="1:11" ht="26.4" hidden="1" x14ac:dyDescent="0.3">
      <c r="A153" s="15">
        <v>152</v>
      </c>
      <c r="B153" s="16" t="s">
        <v>36</v>
      </c>
      <c r="C153" s="15" t="s">
        <v>55</v>
      </c>
      <c r="D153" s="18" t="s">
        <v>125</v>
      </c>
      <c r="E153" s="18" t="s">
        <v>125</v>
      </c>
      <c r="F153" s="18" t="s">
        <v>125</v>
      </c>
      <c r="G153" s="16" t="s">
        <v>1024</v>
      </c>
      <c r="H153" s="16" t="s">
        <v>1025</v>
      </c>
      <c r="I153" s="16" t="s">
        <v>1026</v>
      </c>
      <c r="J153" s="17" t="s">
        <v>1027</v>
      </c>
      <c r="K153" s="15" t="s">
        <v>76</v>
      </c>
    </row>
    <row r="154" spans="1:11" ht="26.4" hidden="1" x14ac:dyDescent="0.3">
      <c r="A154" s="15">
        <v>153</v>
      </c>
      <c r="B154" s="16" t="s">
        <v>36</v>
      </c>
      <c r="C154" s="15" t="s">
        <v>55</v>
      </c>
      <c r="D154" s="16" t="s">
        <v>1028</v>
      </c>
      <c r="E154" s="16" t="s">
        <v>1029</v>
      </c>
      <c r="F154" s="16" t="s">
        <v>1030</v>
      </c>
      <c r="G154" s="18" t="s">
        <v>125</v>
      </c>
      <c r="H154" s="18" t="s">
        <v>125</v>
      </c>
      <c r="I154" s="18" t="s">
        <v>125</v>
      </c>
      <c r="J154" s="17" t="s">
        <v>1031</v>
      </c>
      <c r="K154" s="15" t="s">
        <v>76</v>
      </c>
    </row>
    <row r="155" spans="1:11" ht="26.4" hidden="1" x14ac:dyDescent="0.3">
      <c r="A155" s="15">
        <v>154</v>
      </c>
      <c r="B155" s="16" t="s">
        <v>37</v>
      </c>
      <c r="C155" s="15" t="s">
        <v>55</v>
      </c>
      <c r="D155" s="16" t="s">
        <v>1032</v>
      </c>
      <c r="E155" s="16" t="s">
        <v>1033</v>
      </c>
      <c r="F155" s="16" t="s">
        <v>1034</v>
      </c>
      <c r="G155" s="16" t="s">
        <v>1035</v>
      </c>
      <c r="H155" s="16" t="s">
        <v>1036</v>
      </c>
      <c r="I155" s="16" t="s">
        <v>1037</v>
      </c>
      <c r="J155" s="17" t="s">
        <v>1038</v>
      </c>
      <c r="K155" s="15" t="s">
        <v>76</v>
      </c>
    </row>
    <row r="156" spans="1:11" ht="39.6" hidden="1" x14ac:dyDescent="0.3">
      <c r="A156" s="15">
        <v>155</v>
      </c>
      <c r="B156" s="16" t="s">
        <v>38</v>
      </c>
      <c r="C156" s="15" t="s">
        <v>51</v>
      </c>
      <c r="D156" s="18" t="s">
        <v>125</v>
      </c>
      <c r="E156" s="18" t="s">
        <v>125</v>
      </c>
      <c r="F156" s="18" t="s">
        <v>125</v>
      </c>
      <c r="G156" s="16" t="s">
        <v>1039</v>
      </c>
      <c r="H156" s="16" t="s">
        <v>1040</v>
      </c>
      <c r="I156" s="16" t="s">
        <v>1041</v>
      </c>
      <c r="J156" s="17" t="s">
        <v>1042</v>
      </c>
      <c r="K156" s="15" t="s">
        <v>76</v>
      </c>
    </row>
    <row r="157" spans="1:11" ht="26.4" hidden="1" x14ac:dyDescent="0.3">
      <c r="A157" s="15">
        <v>156</v>
      </c>
      <c r="B157" s="16" t="s">
        <v>38</v>
      </c>
      <c r="C157" s="15" t="s">
        <v>53</v>
      </c>
      <c r="D157" s="18" t="s">
        <v>125</v>
      </c>
      <c r="E157" s="18" t="s">
        <v>125</v>
      </c>
      <c r="F157" s="18" t="s">
        <v>125</v>
      </c>
      <c r="G157" s="16" t="s">
        <v>1043</v>
      </c>
      <c r="H157" s="16" t="s">
        <v>1044</v>
      </c>
      <c r="I157" s="16" t="s">
        <v>1045</v>
      </c>
      <c r="J157" s="17" t="s">
        <v>1046</v>
      </c>
      <c r="K157" s="15" t="s">
        <v>76</v>
      </c>
    </row>
    <row r="158" spans="1:11" ht="39.6" hidden="1" x14ac:dyDescent="0.3">
      <c r="A158" s="15">
        <v>157</v>
      </c>
      <c r="B158" s="16" t="s">
        <v>38</v>
      </c>
      <c r="C158" s="15" t="s">
        <v>53</v>
      </c>
      <c r="D158" s="18" t="s">
        <v>125</v>
      </c>
      <c r="E158" s="18" t="s">
        <v>125</v>
      </c>
      <c r="F158" s="18" t="s">
        <v>125</v>
      </c>
      <c r="G158" s="16" t="s">
        <v>1047</v>
      </c>
      <c r="H158" s="16" t="s">
        <v>1048</v>
      </c>
      <c r="I158" s="16" t="s">
        <v>1049</v>
      </c>
      <c r="J158" s="17" t="s">
        <v>1050</v>
      </c>
      <c r="K158" s="15" t="s">
        <v>76</v>
      </c>
    </row>
    <row r="159" spans="1:11" ht="39.6" hidden="1" x14ac:dyDescent="0.3">
      <c r="A159" s="15">
        <v>158</v>
      </c>
      <c r="B159" s="16" t="s">
        <v>38</v>
      </c>
      <c r="C159" s="15" t="s">
        <v>53</v>
      </c>
      <c r="D159" s="16" t="s">
        <v>1051</v>
      </c>
      <c r="E159" s="16" t="s">
        <v>1052</v>
      </c>
      <c r="F159" s="16" t="s">
        <v>1053</v>
      </c>
      <c r="G159" s="16" t="s">
        <v>1054</v>
      </c>
      <c r="H159" s="16" t="s">
        <v>1055</v>
      </c>
      <c r="I159" s="16" t="s">
        <v>1056</v>
      </c>
      <c r="J159" s="17" t="s">
        <v>1057</v>
      </c>
      <c r="K159" s="15" t="s">
        <v>76</v>
      </c>
    </row>
    <row r="160" spans="1:11" ht="26.4" hidden="1" x14ac:dyDescent="0.3">
      <c r="A160" s="15">
        <v>159</v>
      </c>
      <c r="B160" s="16" t="s">
        <v>38</v>
      </c>
      <c r="C160" s="15" t="s">
        <v>53</v>
      </c>
      <c r="D160" s="16" t="s">
        <v>1058</v>
      </c>
      <c r="E160" s="16" t="s">
        <v>1059</v>
      </c>
      <c r="F160" s="16" t="s">
        <v>1060</v>
      </c>
      <c r="G160" s="16" t="s">
        <v>1061</v>
      </c>
      <c r="H160" s="16" t="s">
        <v>1062</v>
      </c>
      <c r="I160" s="16" t="s">
        <v>1063</v>
      </c>
      <c r="J160" s="17" t="s">
        <v>1064</v>
      </c>
      <c r="K160" s="15" t="s">
        <v>76</v>
      </c>
    </row>
    <row r="161" spans="1:11" ht="26.4" hidden="1" x14ac:dyDescent="0.3">
      <c r="A161" s="15">
        <v>160</v>
      </c>
      <c r="B161" s="16" t="s">
        <v>38</v>
      </c>
      <c r="C161" s="15" t="s">
        <v>55</v>
      </c>
      <c r="D161" s="16" t="s">
        <v>1065</v>
      </c>
      <c r="E161" s="16" t="s">
        <v>1066</v>
      </c>
      <c r="F161" s="16" t="s">
        <v>1067</v>
      </c>
      <c r="G161" s="16" t="s">
        <v>1068</v>
      </c>
      <c r="H161" s="16" t="s">
        <v>1069</v>
      </c>
      <c r="I161" s="16" t="s">
        <v>1070</v>
      </c>
      <c r="J161" s="17" t="s">
        <v>1071</v>
      </c>
      <c r="K161" s="15" t="s">
        <v>76</v>
      </c>
    </row>
    <row r="162" spans="1:11" ht="26.4" x14ac:dyDescent="0.3">
      <c r="A162" s="15">
        <v>161</v>
      </c>
      <c r="B162" s="16" t="s">
        <v>39</v>
      </c>
      <c r="C162" s="15" t="s">
        <v>51</v>
      </c>
      <c r="D162" s="16" t="s">
        <v>1072</v>
      </c>
      <c r="E162" s="16" t="s">
        <v>1073</v>
      </c>
      <c r="F162" s="16" t="s">
        <v>1074</v>
      </c>
      <c r="G162" s="16" t="s">
        <v>1075</v>
      </c>
      <c r="H162" s="16" t="s">
        <v>1076</v>
      </c>
      <c r="I162" s="16" t="s">
        <v>1077</v>
      </c>
      <c r="J162" s="17" t="s">
        <v>1078</v>
      </c>
      <c r="K162" s="15" t="s">
        <v>76</v>
      </c>
    </row>
    <row r="163" spans="1:11" ht="26.4" hidden="1" x14ac:dyDescent="0.3">
      <c r="A163" s="15">
        <v>162</v>
      </c>
      <c r="B163" s="16" t="s">
        <v>39</v>
      </c>
      <c r="C163" s="15" t="s">
        <v>53</v>
      </c>
      <c r="D163" s="16" t="s">
        <v>1079</v>
      </c>
      <c r="E163" s="16" t="s">
        <v>1080</v>
      </c>
      <c r="F163" s="16" t="s">
        <v>1081</v>
      </c>
      <c r="G163" s="16" t="s">
        <v>1082</v>
      </c>
      <c r="H163" s="16" t="s">
        <v>1083</v>
      </c>
      <c r="I163" s="16" t="s">
        <v>1084</v>
      </c>
      <c r="J163" s="17" t="s">
        <v>1085</v>
      </c>
      <c r="K163" s="15" t="s">
        <v>76</v>
      </c>
    </row>
    <row r="164" spans="1:11" ht="26.4" hidden="1" x14ac:dyDescent="0.3">
      <c r="A164" s="15">
        <v>163</v>
      </c>
      <c r="B164" s="16" t="s">
        <v>39</v>
      </c>
      <c r="C164" s="15" t="s">
        <v>55</v>
      </c>
      <c r="D164" s="16" t="s">
        <v>1086</v>
      </c>
      <c r="E164" s="16" t="s">
        <v>1087</v>
      </c>
      <c r="F164" s="16" t="s">
        <v>1088</v>
      </c>
      <c r="G164" s="16" t="s">
        <v>1089</v>
      </c>
      <c r="H164" s="16" t="s">
        <v>1090</v>
      </c>
      <c r="I164" s="16" t="s">
        <v>1091</v>
      </c>
      <c r="J164" s="17" t="s">
        <v>1092</v>
      </c>
      <c r="K164" s="15" t="s">
        <v>76</v>
      </c>
    </row>
    <row r="165" spans="1:11" ht="26.4" hidden="1" x14ac:dyDescent="0.3">
      <c r="A165" s="15">
        <v>164</v>
      </c>
      <c r="B165" s="16" t="s">
        <v>39</v>
      </c>
      <c r="C165" s="15" t="s">
        <v>55</v>
      </c>
      <c r="D165" s="16" t="s">
        <v>1093</v>
      </c>
      <c r="E165" s="16" t="s">
        <v>1094</v>
      </c>
      <c r="F165" s="16" t="s">
        <v>1095</v>
      </c>
      <c r="G165" s="16" t="s">
        <v>1096</v>
      </c>
      <c r="H165" s="16" t="s">
        <v>1097</v>
      </c>
      <c r="I165" s="16" t="s">
        <v>1098</v>
      </c>
      <c r="J165" s="17" t="s">
        <v>1099</v>
      </c>
      <c r="K165" s="15" t="s">
        <v>76</v>
      </c>
    </row>
    <row r="166" spans="1:11" ht="39.6" x14ac:dyDescent="0.3">
      <c r="A166" s="15">
        <v>165</v>
      </c>
      <c r="B166" s="16" t="s">
        <v>40</v>
      </c>
      <c r="C166" s="15" t="s">
        <v>51</v>
      </c>
      <c r="D166" s="16" t="s">
        <v>1100</v>
      </c>
      <c r="E166" s="16" t="s">
        <v>1101</v>
      </c>
      <c r="F166" s="16" t="s">
        <v>1102</v>
      </c>
      <c r="G166" s="16" t="s">
        <v>1103</v>
      </c>
      <c r="H166" s="16" t="s">
        <v>1104</v>
      </c>
      <c r="I166" s="16" t="s">
        <v>1105</v>
      </c>
      <c r="J166" s="17" t="s">
        <v>1106</v>
      </c>
      <c r="K166" s="15" t="s">
        <v>76</v>
      </c>
    </row>
    <row r="167" spans="1:11" ht="39.6" hidden="1" x14ac:dyDescent="0.3">
      <c r="A167" s="15">
        <v>166</v>
      </c>
      <c r="B167" s="16" t="s">
        <v>40</v>
      </c>
      <c r="C167" s="15" t="s">
        <v>53</v>
      </c>
      <c r="D167" s="16" t="s">
        <v>1107</v>
      </c>
      <c r="E167" s="16" t="s">
        <v>1108</v>
      </c>
      <c r="F167" s="16" t="s">
        <v>1109</v>
      </c>
      <c r="G167" s="16" t="s">
        <v>1110</v>
      </c>
      <c r="H167" s="16" t="s">
        <v>1111</v>
      </c>
      <c r="I167" s="16" t="s">
        <v>1112</v>
      </c>
      <c r="J167" s="17" t="s">
        <v>1113</v>
      </c>
      <c r="K167" s="15" t="s">
        <v>76</v>
      </c>
    </row>
    <row r="168" spans="1:11" ht="26.4" hidden="1" x14ac:dyDescent="0.3">
      <c r="A168" s="15">
        <v>167</v>
      </c>
      <c r="B168" s="16" t="s">
        <v>40</v>
      </c>
      <c r="C168" s="15" t="s">
        <v>55</v>
      </c>
      <c r="D168" s="18" t="s">
        <v>125</v>
      </c>
      <c r="E168" s="18" t="s">
        <v>125</v>
      </c>
      <c r="F168" s="18" t="s">
        <v>125</v>
      </c>
      <c r="G168" s="16" t="s">
        <v>1114</v>
      </c>
      <c r="H168" s="16" t="s">
        <v>1115</v>
      </c>
      <c r="I168" s="16" t="s">
        <v>1116</v>
      </c>
      <c r="J168" s="17" t="s">
        <v>1117</v>
      </c>
      <c r="K168" s="15" t="s">
        <v>76</v>
      </c>
    </row>
    <row r="169" spans="1:11" ht="39.6" x14ac:dyDescent="0.3">
      <c r="A169" s="15">
        <v>168</v>
      </c>
      <c r="B169" s="16" t="s">
        <v>41</v>
      </c>
      <c r="C169" s="15" t="s">
        <v>51</v>
      </c>
      <c r="D169" s="16" t="s">
        <v>1118</v>
      </c>
      <c r="E169" s="16" t="s">
        <v>1119</v>
      </c>
      <c r="F169" s="16" t="s">
        <v>1120</v>
      </c>
      <c r="G169" s="16" t="s">
        <v>1118</v>
      </c>
      <c r="H169" s="16" t="s">
        <v>1121</v>
      </c>
      <c r="I169" s="16" t="s">
        <v>1122</v>
      </c>
      <c r="J169" s="17" t="s">
        <v>1123</v>
      </c>
      <c r="K169" s="15" t="s">
        <v>76</v>
      </c>
    </row>
    <row r="170" spans="1:11" ht="26.4" hidden="1" x14ac:dyDescent="0.3">
      <c r="A170" s="15">
        <v>169</v>
      </c>
      <c r="B170" s="16" t="s">
        <v>41</v>
      </c>
      <c r="C170" s="15" t="s">
        <v>53</v>
      </c>
      <c r="D170" s="16" t="s">
        <v>1124</v>
      </c>
      <c r="E170" s="16" t="s">
        <v>1125</v>
      </c>
      <c r="F170" s="16" t="s">
        <v>1126</v>
      </c>
      <c r="G170" s="16" t="s">
        <v>1124</v>
      </c>
      <c r="H170" s="16" t="s">
        <v>1127</v>
      </c>
      <c r="I170" s="16" t="s">
        <v>1128</v>
      </c>
      <c r="J170" s="17" t="s">
        <v>1129</v>
      </c>
      <c r="K170" s="15" t="s">
        <v>76</v>
      </c>
    </row>
    <row r="171" spans="1:11" ht="39.6" hidden="1" x14ac:dyDescent="0.3">
      <c r="A171" s="15">
        <v>170</v>
      </c>
      <c r="B171" s="16" t="s">
        <v>42</v>
      </c>
      <c r="C171" s="15" t="s">
        <v>53</v>
      </c>
      <c r="D171" s="16" t="s">
        <v>1130</v>
      </c>
      <c r="E171" s="16" t="s">
        <v>1131</v>
      </c>
      <c r="F171" s="16" t="s">
        <v>1132</v>
      </c>
      <c r="G171" s="16" t="s">
        <v>1133</v>
      </c>
      <c r="H171" s="16" t="s">
        <v>1134</v>
      </c>
      <c r="I171" s="16" t="s">
        <v>1135</v>
      </c>
      <c r="J171" s="17" t="s">
        <v>1136</v>
      </c>
      <c r="K171" s="15" t="s">
        <v>76</v>
      </c>
    </row>
    <row r="172" spans="1:11" ht="39.6" hidden="1" x14ac:dyDescent="0.3">
      <c r="A172" s="15">
        <v>171</v>
      </c>
      <c r="B172" s="16" t="s">
        <v>42</v>
      </c>
      <c r="C172" s="15" t="s">
        <v>53</v>
      </c>
      <c r="D172" s="16" t="s">
        <v>1137</v>
      </c>
      <c r="E172" s="16" t="s">
        <v>1138</v>
      </c>
      <c r="F172" s="16" t="s">
        <v>1139</v>
      </c>
      <c r="G172" s="16" t="s">
        <v>1137</v>
      </c>
      <c r="H172" s="16" t="s">
        <v>1138</v>
      </c>
      <c r="I172" s="16" t="s">
        <v>1140</v>
      </c>
      <c r="J172" s="17" t="s">
        <v>1141</v>
      </c>
      <c r="K172" s="15" t="s">
        <v>76</v>
      </c>
    </row>
    <row r="173" spans="1:11" ht="26.4" hidden="1" x14ac:dyDescent="0.3">
      <c r="A173" s="15">
        <v>172</v>
      </c>
      <c r="B173" s="16" t="s">
        <v>42</v>
      </c>
      <c r="C173" s="15" t="s">
        <v>55</v>
      </c>
      <c r="D173" s="16" t="s">
        <v>1142</v>
      </c>
      <c r="E173" s="16" t="s">
        <v>1143</v>
      </c>
      <c r="F173" s="16" t="s">
        <v>1144</v>
      </c>
      <c r="G173" s="16" t="s">
        <v>1145</v>
      </c>
      <c r="H173" s="16" t="s">
        <v>1146</v>
      </c>
      <c r="I173" s="16" t="s">
        <v>1147</v>
      </c>
      <c r="J173" s="17" t="s">
        <v>1148</v>
      </c>
      <c r="K173" s="15" t="s">
        <v>76</v>
      </c>
    </row>
    <row r="174" spans="1:11" ht="26.4" hidden="1" x14ac:dyDescent="0.3">
      <c r="A174" s="15">
        <v>173</v>
      </c>
      <c r="B174" s="16" t="s">
        <v>42</v>
      </c>
      <c r="C174" s="15" t="s">
        <v>55</v>
      </c>
      <c r="D174" s="16" t="s">
        <v>1149</v>
      </c>
      <c r="E174" s="16" t="s">
        <v>1150</v>
      </c>
      <c r="F174" s="16" t="s">
        <v>1151</v>
      </c>
      <c r="G174" s="16" t="s">
        <v>1152</v>
      </c>
      <c r="H174" s="16" t="s">
        <v>1153</v>
      </c>
      <c r="I174" s="16" t="s">
        <v>1154</v>
      </c>
      <c r="J174" s="17" t="s">
        <v>1155</v>
      </c>
      <c r="K174" s="15" t="s">
        <v>76</v>
      </c>
    </row>
    <row r="175" spans="1:11" ht="39.6" hidden="1" x14ac:dyDescent="0.3">
      <c r="A175" s="15">
        <v>174</v>
      </c>
      <c r="B175" s="16" t="s">
        <v>42</v>
      </c>
      <c r="C175" s="15" t="s">
        <v>55</v>
      </c>
      <c r="D175" s="16" t="s">
        <v>1156</v>
      </c>
      <c r="E175" s="16" t="s">
        <v>1157</v>
      </c>
      <c r="F175" s="16" t="s">
        <v>1158</v>
      </c>
      <c r="G175" s="16" t="s">
        <v>1159</v>
      </c>
      <c r="H175" s="16" t="s">
        <v>1160</v>
      </c>
      <c r="I175" s="16" t="s">
        <v>1161</v>
      </c>
      <c r="J175" s="17" t="s">
        <v>1162</v>
      </c>
      <c r="K175" s="15" t="s">
        <v>76</v>
      </c>
    </row>
    <row r="176" spans="1:11" ht="39.6" hidden="1" x14ac:dyDescent="0.3">
      <c r="A176" s="15">
        <v>175</v>
      </c>
      <c r="B176" s="16" t="s">
        <v>42</v>
      </c>
      <c r="C176" s="15" t="s">
        <v>55</v>
      </c>
      <c r="D176" s="18" t="s">
        <v>125</v>
      </c>
      <c r="E176" s="18" t="s">
        <v>125</v>
      </c>
      <c r="F176" s="18" t="s">
        <v>125</v>
      </c>
      <c r="G176" s="16" t="s">
        <v>1163</v>
      </c>
      <c r="H176" s="16" t="s">
        <v>1164</v>
      </c>
      <c r="I176" s="16" t="s">
        <v>1165</v>
      </c>
      <c r="J176" s="17" t="s">
        <v>1166</v>
      </c>
      <c r="K176" s="15" t="s">
        <v>76</v>
      </c>
    </row>
    <row r="177" spans="1:11" ht="26.4" hidden="1" x14ac:dyDescent="0.3">
      <c r="A177" s="15">
        <v>176</v>
      </c>
      <c r="B177" s="16" t="s">
        <v>42</v>
      </c>
      <c r="C177" s="15" t="s">
        <v>55</v>
      </c>
      <c r="D177" s="16" t="s">
        <v>1167</v>
      </c>
      <c r="E177" s="16" t="s">
        <v>1168</v>
      </c>
      <c r="F177" s="16" t="s">
        <v>1169</v>
      </c>
      <c r="G177" s="16" t="s">
        <v>1170</v>
      </c>
      <c r="H177" s="16" t="s">
        <v>1171</v>
      </c>
      <c r="I177" s="16" t="s">
        <v>1172</v>
      </c>
      <c r="J177" s="17" t="s">
        <v>1173</v>
      </c>
      <c r="K177" s="15" t="s">
        <v>76</v>
      </c>
    </row>
    <row r="178" spans="1:11" ht="26.4" hidden="1" x14ac:dyDescent="0.3">
      <c r="A178" s="15">
        <v>177</v>
      </c>
      <c r="B178" s="16" t="s">
        <v>42</v>
      </c>
      <c r="C178" s="15" t="s">
        <v>55</v>
      </c>
      <c r="D178" s="16" t="s">
        <v>1174</v>
      </c>
      <c r="E178" s="16" t="s">
        <v>1175</v>
      </c>
      <c r="F178" s="16" t="s">
        <v>1176</v>
      </c>
      <c r="G178" s="16" t="s">
        <v>1177</v>
      </c>
      <c r="H178" s="16" t="s">
        <v>1178</v>
      </c>
      <c r="I178" s="16" t="s">
        <v>1179</v>
      </c>
      <c r="J178" s="17" t="s">
        <v>1180</v>
      </c>
      <c r="K178" s="15" t="s">
        <v>76</v>
      </c>
    </row>
    <row r="179" spans="1:11" ht="26.4" hidden="1" x14ac:dyDescent="0.3">
      <c r="A179" s="15">
        <v>178</v>
      </c>
      <c r="B179" s="16" t="s">
        <v>42</v>
      </c>
      <c r="C179" s="15" t="s">
        <v>55</v>
      </c>
      <c r="D179" s="16" t="s">
        <v>1181</v>
      </c>
      <c r="E179" s="16" t="s">
        <v>1182</v>
      </c>
      <c r="F179" s="16" t="s">
        <v>1183</v>
      </c>
      <c r="G179" s="16" t="s">
        <v>1184</v>
      </c>
      <c r="H179" s="16" t="s">
        <v>1185</v>
      </c>
      <c r="I179" s="16" t="s">
        <v>1186</v>
      </c>
      <c r="J179" s="17" t="s">
        <v>1187</v>
      </c>
      <c r="K179" s="15" t="s">
        <v>76</v>
      </c>
    </row>
    <row r="180" spans="1:11" ht="26.4" hidden="1" x14ac:dyDescent="0.3">
      <c r="A180" s="15">
        <v>179</v>
      </c>
      <c r="B180" s="16" t="s">
        <v>42</v>
      </c>
      <c r="C180" s="15" t="s">
        <v>55</v>
      </c>
      <c r="D180" s="16" t="s">
        <v>1188</v>
      </c>
      <c r="E180" s="16" t="s">
        <v>1189</v>
      </c>
      <c r="F180" s="16" t="s">
        <v>1190</v>
      </c>
      <c r="G180" s="16" t="s">
        <v>1191</v>
      </c>
      <c r="H180" s="16" t="s">
        <v>1189</v>
      </c>
      <c r="I180" s="16" t="s">
        <v>1192</v>
      </c>
      <c r="J180" s="17" t="s">
        <v>1193</v>
      </c>
      <c r="K180" s="15" t="s">
        <v>76</v>
      </c>
    </row>
    <row r="181" spans="1:11" ht="26.4" hidden="1" x14ac:dyDescent="0.3">
      <c r="A181" s="15">
        <v>180</v>
      </c>
      <c r="B181" s="16" t="s">
        <v>42</v>
      </c>
      <c r="C181" s="15" t="s">
        <v>55</v>
      </c>
      <c r="D181" s="16" t="s">
        <v>1194</v>
      </c>
      <c r="E181" s="16" t="s">
        <v>1195</v>
      </c>
      <c r="F181" s="16" t="s">
        <v>1196</v>
      </c>
      <c r="G181" s="18" t="s">
        <v>125</v>
      </c>
      <c r="H181" s="18" t="s">
        <v>125</v>
      </c>
      <c r="I181" s="18" t="s">
        <v>125</v>
      </c>
      <c r="J181" s="17" t="s">
        <v>1197</v>
      </c>
      <c r="K181" s="15" t="s">
        <v>76</v>
      </c>
    </row>
    <row r="182" spans="1:11" ht="39.6" x14ac:dyDescent="0.3">
      <c r="A182" s="15">
        <v>181</v>
      </c>
      <c r="B182" s="16" t="s">
        <v>43</v>
      </c>
      <c r="C182" s="15" t="s">
        <v>51</v>
      </c>
      <c r="D182" s="16" t="s">
        <v>1198</v>
      </c>
      <c r="E182" s="16" t="s">
        <v>1199</v>
      </c>
      <c r="F182" s="16" t="s">
        <v>1200</v>
      </c>
      <c r="G182" s="16" t="s">
        <v>1201</v>
      </c>
      <c r="H182" s="16" t="s">
        <v>1202</v>
      </c>
      <c r="I182" s="16" t="s">
        <v>1203</v>
      </c>
      <c r="J182" s="17" t="s">
        <v>1204</v>
      </c>
      <c r="K182" s="15" t="s">
        <v>76</v>
      </c>
    </row>
    <row r="183" spans="1:11" ht="39.6" x14ac:dyDescent="0.3">
      <c r="A183" s="15">
        <v>182</v>
      </c>
      <c r="B183" s="16" t="s">
        <v>43</v>
      </c>
      <c r="C183" s="15" t="s">
        <v>51</v>
      </c>
      <c r="D183" s="16" t="s">
        <v>1205</v>
      </c>
      <c r="E183" s="16" t="s">
        <v>1206</v>
      </c>
      <c r="F183" s="16" t="s">
        <v>1207</v>
      </c>
      <c r="G183" s="16" t="s">
        <v>1205</v>
      </c>
      <c r="H183" s="16" t="s">
        <v>1208</v>
      </c>
      <c r="I183" s="16" t="s">
        <v>1209</v>
      </c>
      <c r="J183" s="17" t="s">
        <v>1210</v>
      </c>
      <c r="K183" s="15" t="s">
        <v>76</v>
      </c>
    </row>
    <row r="184" spans="1:11" ht="26.4" x14ac:dyDescent="0.3">
      <c r="A184" s="15">
        <v>183</v>
      </c>
      <c r="B184" s="16" t="s">
        <v>44</v>
      </c>
      <c r="C184" s="15" t="s">
        <v>51</v>
      </c>
      <c r="D184" s="16" t="s">
        <v>1211</v>
      </c>
      <c r="E184" s="16" t="s">
        <v>1212</v>
      </c>
      <c r="F184" s="16" t="s">
        <v>1213</v>
      </c>
      <c r="G184" s="16" t="s">
        <v>1214</v>
      </c>
      <c r="H184" s="16" t="s">
        <v>1215</v>
      </c>
      <c r="I184" s="16" t="s">
        <v>1216</v>
      </c>
      <c r="J184" s="17" t="s">
        <v>1217</v>
      </c>
      <c r="K184" s="15" t="s">
        <v>76</v>
      </c>
    </row>
    <row r="185" spans="1:11" ht="26.4" hidden="1" x14ac:dyDescent="0.3">
      <c r="A185" s="15">
        <v>184</v>
      </c>
      <c r="B185" s="16" t="s">
        <v>44</v>
      </c>
      <c r="C185" s="15" t="s">
        <v>53</v>
      </c>
      <c r="D185" s="16" t="s">
        <v>1218</v>
      </c>
      <c r="E185" s="16" t="s">
        <v>1219</v>
      </c>
      <c r="F185" s="16" t="s">
        <v>1220</v>
      </c>
      <c r="G185" s="16" t="s">
        <v>1221</v>
      </c>
      <c r="H185" s="16" t="s">
        <v>1222</v>
      </c>
      <c r="I185" s="16" t="s">
        <v>1223</v>
      </c>
      <c r="J185" s="17" t="s">
        <v>1224</v>
      </c>
      <c r="K185" s="15" t="s">
        <v>76</v>
      </c>
    </row>
    <row r="186" spans="1:11" ht="26.4" hidden="1" x14ac:dyDescent="0.3">
      <c r="A186" s="15">
        <v>185</v>
      </c>
      <c r="B186" s="16" t="s">
        <v>44</v>
      </c>
      <c r="C186" s="15" t="s">
        <v>55</v>
      </c>
      <c r="D186" s="16" t="s">
        <v>1225</v>
      </c>
      <c r="E186" s="16" t="s">
        <v>1226</v>
      </c>
      <c r="F186" s="16" t="s">
        <v>1227</v>
      </c>
      <c r="G186" s="16" t="s">
        <v>1228</v>
      </c>
      <c r="H186" s="16" t="s">
        <v>1229</v>
      </c>
      <c r="I186" s="16" t="s">
        <v>1230</v>
      </c>
      <c r="J186" s="17" t="s">
        <v>1231</v>
      </c>
      <c r="K186" s="15" t="s">
        <v>76</v>
      </c>
    </row>
    <row r="187" spans="1:11" ht="26.4" x14ac:dyDescent="0.3">
      <c r="A187" s="15">
        <v>186</v>
      </c>
      <c r="B187" s="16" t="s">
        <v>44</v>
      </c>
      <c r="C187" s="15" t="s">
        <v>51</v>
      </c>
      <c r="D187" s="16" t="s">
        <v>1232</v>
      </c>
      <c r="E187" s="16" t="s">
        <v>1233</v>
      </c>
      <c r="F187" s="16" t="s">
        <v>1234</v>
      </c>
      <c r="G187" s="16" t="s">
        <v>1235</v>
      </c>
      <c r="H187" s="16" t="s">
        <v>1236</v>
      </c>
      <c r="I187" s="16" t="s">
        <v>1237</v>
      </c>
      <c r="J187" s="17" t="s">
        <v>1238</v>
      </c>
      <c r="K187" s="15" t="s">
        <v>76</v>
      </c>
    </row>
    <row r="188" spans="1:11" ht="26.4" hidden="1" x14ac:dyDescent="0.3">
      <c r="A188" s="15">
        <v>187</v>
      </c>
      <c r="B188" s="16" t="s">
        <v>44</v>
      </c>
      <c r="C188" s="15" t="s">
        <v>55</v>
      </c>
      <c r="D188" s="16" t="s">
        <v>1239</v>
      </c>
      <c r="E188" s="16" t="s">
        <v>1240</v>
      </c>
      <c r="F188" s="16" t="s">
        <v>1241</v>
      </c>
      <c r="G188" s="16" t="s">
        <v>1242</v>
      </c>
      <c r="H188" s="16" t="s">
        <v>1243</v>
      </c>
      <c r="I188" s="16" t="s">
        <v>1244</v>
      </c>
      <c r="J188" s="17" t="s">
        <v>1245</v>
      </c>
      <c r="K188" s="15" t="s">
        <v>76</v>
      </c>
    </row>
    <row r="189" spans="1:11" ht="26.4" hidden="1" x14ac:dyDescent="0.3">
      <c r="A189" s="15">
        <v>188</v>
      </c>
      <c r="B189" s="16" t="s">
        <v>45</v>
      </c>
      <c r="C189" s="15" t="s">
        <v>53</v>
      </c>
      <c r="D189" s="16" t="s">
        <v>1246</v>
      </c>
      <c r="E189" s="16" t="s">
        <v>1247</v>
      </c>
      <c r="F189" s="16" t="s">
        <v>1248</v>
      </c>
      <c r="G189" s="16" t="s">
        <v>1249</v>
      </c>
      <c r="H189" s="16" t="s">
        <v>1250</v>
      </c>
      <c r="I189" s="16" t="s">
        <v>1251</v>
      </c>
      <c r="J189" s="17" t="s">
        <v>1252</v>
      </c>
      <c r="K189" s="15" t="s">
        <v>76</v>
      </c>
    </row>
    <row r="190" spans="1:11" ht="26.4" hidden="1" x14ac:dyDescent="0.3">
      <c r="A190" s="15">
        <v>189</v>
      </c>
      <c r="B190" s="16" t="s">
        <v>46</v>
      </c>
      <c r="C190" s="15" t="s">
        <v>53</v>
      </c>
      <c r="D190" s="16" t="s">
        <v>1253</v>
      </c>
      <c r="E190" s="16" t="s">
        <v>1254</v>
      </c>
      <c r="F190" s="16" t="s">
        <v>1255</v>
      </c>
      <c r="G190" s="16" t="s">
        <v>1253</v>
      </c>
      <c r="H190" s="16" t="s">
        <v>1256</v>
      </c>
      <c r="I190" s="16" t="s">
        <v>1257</v>
      </c>
      <c r="J190" s="17" t="s">
        <v>1258</v>
      </c>
      <c r="K190" s="15" t="s">
        <v>76</v>
      </c>
    </row>
  </sheetData>
  <autoFilter ref="A1:K190" xr:uid="{00000000-0009-0000-0000-000001000000}">
    <filterColumn colId="2">
      <filters>
        <filter val="P1"/>
      </filters>
    </filterColumn>
    <filterColumn colId="3">
      <filters>
        <filter val="@FunctionalInterface"/>
        <filter val="1D and 2D arrays, array methods"/>
        <filter val="Abstract classes, interfaces"/>
        <filter val="Android development"/>
        <filter val="Annotations"/>
        <filter val="Applets, Java Web Start (deprecated)"/>
        <filter val="Arithmetic, relational, logical, bitwise, assignment, ternary"/>
        <filter val="ArrayList, Vector"/>
        <filter val="assert (disabled by default, -ea to enable)"/>
        <filter val="Atomic classes"/>
        <filter val="BigInteger, BigDecimal"/>
        <filter val="Bit manipulation"/>
        <filter val="BlueJ, JDeveloper (beginners)"/>
        <filter val="break, continue, labeled break"/>
        <filter val="Checked vs unchecked exceptions"/>
        <filter val="Class loaders"/>
        <filter val="Classes and objects"/>
        <filter val="Cloning (clone()), shallow vs deep copy"/>
        <filter val="Code quality (SonarQube, Checkstyle)"/>
        <filter val="Collections utility class"/>
        <filter val="Command-line arguments (args[])"/>
        <filter val="Comments (//, /* */, /** */)"/>
        <filter val="Comparable, Comparator"/>
        <filter val="Compile and run (javac, java, bytecode)"/>
        <filter val="CompletableFuture, virtual threads"/>
        <filter val="ConcurrentHashMap, CopyOnWriteArrayList"/>
        <filter val="Connection pooling (HikariCP)"/>
        <filter val="Constructor overloading, chaining"/>
        <filter val="Constructors, this keyword"/>
        <filter val="Custom exceptions"/>
        <filter val="Data structures and algorithms in Java"/>
        <filter val="Deep Java Library (DJL), Weka"/>
        <filter val="Design patterns (Singleton, Factory, Builder)"/>
        <filter val="Docker and Kubernetes deployment"/>
        <filter val="Eclipse"/>
        <filter val="Encapsulation, access modifiers"/>
        <filter val="Enums"/>
        <filter val="EnumSet, EnumMap, IdentityHashMap, WeakHashMap"/>
        <filter val="ExecutorService, thread pools, Callable, Future"/>
        <filter val="Fail-fast vs fail-safe iterators"/>
        <filter val="File, FileReader, FileWriter, streams"/>
        <filter val="final keyword"/>
        <filter val="for, while, do-while, for-each"/>
        <filter val="Fork/Join framework"/>
        <filter val="Garbage collection (G1, ZGC)"/>
        <filter val="Generics"/>
        <filter val="Getters/setters"/>
        <filter val="Git, GitHub, CI/CD"/>
        <filter val="GraphQL (Spring GraphQL)"/>
        <filter val="Hadoop, Kafka clients"/>
        <filter val="HashMap, LinkedHashMap, TreeMap, Hashtable"/>
        <filter val="HashSet, LinkedHashSet, TreeSet"/>
        <filter val="Hibernate, JPA, Spring Data JPA"/>
        <filter val="if, if-else, else-if"/>
        <filter val="Immutable class design"/>
        <filter val="Inheritance (single, multilevel, hierarchical)"/>
        <filter val="Initializer blocks"/>
        <filter val="Inner, nested, anonymous classes"/>
        <filter val="instanceof"/>
        <filter val="IntelliJ IDEA"/>
        <filter val="Interface default, static, private methods"/>
        <filter val="Internationalization (Locale, ResourceBundle)"/>
        <filter val="Iterator, ListIterator"/>
        <filter val="JAR, WAR packaging"/>
        <filter val="Java agents, bytecode manipulation (ASM)"/>
        <filter val="Java I/O streams, Console, Reader/Writer"/>
        <filter val="Java Memory Model (JMM)"/>
        <filter val="Java Modules (JPMS)"/>
        <filter val="java.time (LocalDate, ZonedDateTime)"/>
        <filter val="java.util.logging, Log4j, SLF4J"/>
        <filter val="java.util.regex (Pattern, Matcher)"/>
        <filter val="JavaBeans, POJO"/>
        <filter val="Javadoc"/>
        <filter val="JavaMail, JNDI"/>
        <filter val="JDBC"/>
        <filter val="JDK, JRE, JVM, installation"/>
        <filter val="JDoodle, OnlineGDB"/>
        <filter val="Jenkins pipelines"/>
        <filter val="JIT compiler"/>
        <filter val="JNI (native code)"/>
        <filter val="JSON (Jackson, Gson), XML (JAXB)"/>
        <filter val="JUnit, TestNG"/>
        <filter val="JVM architecture (heap, stack, metaspace)"/>
        <filter val="JVM tuning, GC tuning, profiling (JConsole, VisualVM)"/>
        <filter val="Keywords, identifiers"/>
        <filter val="Lambda expressions, functional interfaces"/>
        <filter val="LinkedList"/>
        <filter val="Lombok"/>
        <filter val="Math class, Random"/>
        <filter val="Maven, Gradle, Ant"/>
        <filter val="Method overloading"/>
        <filter val="Method references"/>
        <filter val="Methods, parameters, return types"/>
        <filter val="Microservices (Spring Cloud)"/>
        <filter val="Mockito"/>
        <filter val="Multiple inheritance via interfaces only"/>
        <filter val="Mutable vs immutable (String, final)"/>
        <filter val="Native image (GraalVM)"/>
        <filter val="NetBeans"/>
        <filter val="NIO, Files, Paths"/>
        <filter val="NoSQL clients (MongoDB, Redis, Cassandra)"/>
        <filter val="Object class (equals, hashCode, toString)"/>
        <filter val="Object composition, aggregation"/>
        <filter val="Optional"/>
        <filter val="Packages, import, classpath"/>
        <filter val="Parallel streams"/>
        <filter val="Pattern matching, switch patterns"/>
        <filter val="Performance tuning (JVM flags)"/>
        <filter val="Polymorphism (overloading, overriding)"/>
        <filter val="Postman (API testing)"/>
        <filter val="Primitives (byte, short, int, long, float, double, char, boolean)"/>
        <filter val="Program structure (class, main method)"/>
        <filter val="Projects, interview preparation"/>
        <filter val="Properties files, ResourceBundle"/>
        <filter val="Records"/>
        <filter val="Recursion"/>
        <filter val="Reflection API"/>
        <filter val="REST APIs (Spring REST, JAX-RS)"/>
        <filter val="RMI"/>
        <filter val="Scanner, BufferedReader, System.out"/>
        <filter val="Sealed classes"/>
        <filter val="Security (Cryptography, JCA)"/>
        <filter val="Selenium with Java"/>
        <filter val="Selenium, RestAssured, Cucumber (BDD)"/>
        <filter val="Serialization, Externalizable"/>
        <filter val="Servlets, JSP"/>
        <filter val="Socket, ServerSocket, URL, HttpClient"/>
        <filter val="Software architecture (monolith, MVC, hexagonal)"/>
        <filter val="SOLID principles"/>
        <filter val="Spring Boot Actuator, Spring Batch"/>
        <filter val="Spring Core (IoC, DI, Beans, AOP)"/>
        <filter val="Spring MVC, Spring Boot"/>
        <filter val="Spring Security, JWT"/>
        <filter val="Stack, Queue, Deque, PriorityQueue"/>
        <filter val="static (variables, methods, blocks)"/>
        <filter val="Static import"/>
        <filter val="Static type checking (compiler built in)"/>
        <filter val="Static typing, variable declaration"/>
        <filter val="Streams API"/>
        <filter val="String, immutability, string pool"/>
        <filter val="String.format, text blocks"/>
        <filter val="StringBuilder, StringBuffer"/>
        <filter val="super keyword"/>
        <filter val="Swagger/OpenAPI"/>
        <filter val="Swing, AWT, JavaFX"/>
        <filter val="switch, switch expressions"/>
        <filter val="synchronized, locks, deadlock"/>
        <filter val="Test coverage (JaCoCo)"/>
        <filter val="Thread, Runnable, thread lifecycle"/>
        <filter val="throw, throws"/>
        <filter val="Thymeleaf, JSF"/>
        <filter val="try, catch, finally"/>
        <filter val="try-with-resources"/>
        <filter val="Type casting (implicit/explicit)"/>
        <filter val="Unicode, character encoding"/>
        <filter val="var (type inference)"/>
        <filter val="Varargs"/>
        <filter val="Variable scope (local, instance, static)"/>
        <filter val="volatile, wait/notify, daemon threads, ThreadLocal"/>
        <filter val="VS Code (Java extensions)"/>
        <filter val="Weak, soft, phantom references"/>
        <filter val="WebSocket, JMS, Kafka, RabbitMQ"/>
        <filter val="Wrapper classes, autoboxing/unboxing"/>
      </filters>
    </filterColumn>
    <filterColumn colId="10">
      <filters>
        <filter val="Not Started"/>
      </filters>
    </filterColumn>
  </autoFilter>
  <conditionalFormatting sqref="C2:C190">
    <cfRule type="cellIs" dxfId="4" priority="2" operator="equal">
      <formula>"P1"</formula>
    </cfRule>
    <cfRule type="cellIs" dxfId="3" priority="3" operator="equal">
      <formula>"P2"</formula>
    </cfRule>
    <cfRule type="cellIs" dxfId="2" priority="4" operator="equal">
      <formula>"P3"</formula>
    </cfRule>
  </conditionalFormatting>
  <conditionalFormatting sqref="K2:K190">
    <cfRule type="cellIs" dxfId="1" priority="5" operator="equal">
      <formula>"Done"</formula>
    </cfRule>
    <cfRule type="cellIs" dxfId="0" priority="6" operator="equal">
      <formula>"In Progress"</formula>
    </cfRule>
  </conditionalFormatting>
  <dataValidations count="1">
    <dataValidation type="list" sqref="K2:K190" xr:uid="{00000000-0002-0000-01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Java vs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Nagaraj Lakshatti</cp:lastModifiedBy>
  <cp:revision>0</cp:revision>
  <dcterms:created xsi:type="dcterms:W3CDTF">2026-10-01T09:58:20Z</dcterms:created>
  <dcterms:modified xsi:type="dcterms:W3CDTF">2026-10-01T22:14:27Z</dcterms:modified>
  <dc:language>en-US</dc:language>
</cp:coreProperties>
</file>