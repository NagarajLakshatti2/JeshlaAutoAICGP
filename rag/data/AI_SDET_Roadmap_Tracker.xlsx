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Tools" sheetId="2" state="visible" r:id="rId4"/>
    <sheet name="Study Plan" sheetId="3" state="visible" r:id="rId5"/>
    <sheet name="Free OSS Stack" sheetId="4" state="visible" r:id="rId6"/>
    <sheet name="Notes &amp; Caveats" sheetId="5" state="visible" r:id="rId7"/>
  </sheets>
  <definedNames>
    <definedName function="false" hidden="true" localSheetId="1" name="_xlnm._FilterDatabase" vbProcedure="false">'All Tools'!$A$1:$K$139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<sst xmlns="http://schemas.openxmlformats.org/spreadsheetml/2006/main" count="1538" uniqueCount="521">
  <si>
    <t xml:space="preserve">AI + SDET Learning Roadmap: Tools, Open-Source Status and Notes</t>
  </si>
  <si>
    <t xml:space="preserve">Consolidated from all four roadmap diagrams. Use the 'All Tools' tab: filter by Roadmap, set Status (dropdown) as you progress. Counts below update automatically.</t>
  </si>
  <si>
    <t xml:space="preserve">Rows by roadmap</t>
  </si>
  <si>
    <t xml:space="preserve">Category</t>
  </si>
  <si>
    <t xml:space="preserve">Rows</t>
  </si>
  <si>
    <t xml:space="preserve">1. Learning path</t>
  </si>
  <si>
    <t xml:space="preserve">2. AI testing agent workflow</t>
  </si>
  <si>
    <t xml:space="preserve">3. Advanced + tracks</t>
  </si>
  <si>
    <t xml:space="preserve">4. Capstone (advanced per step)</t>
  </si>
  <si>
    <t xml:space="preserve">Total</t>
  </si>
  <si>
    <t xml:space="preserve">Rows by open-source status</t>
  </si>
  <si>
    <t xml:space="preserve">Yes</t>
  </si>
  <si>
    <t xml:space="preserve">Partial</t>
  </si>
  <si>
    <t xml:space="preserve">Source-available</t>
  </si>
  <si>
    <t xml:space="preserve">Open weights</t>
  </si>
  <si>
    <t xml:space="preserve">No</t>
  </si>
  <si>
    <t xml:space="preserve">Progress by status</t>
  </si>
  <si>
    <t xml:space="preserve">Not started</t>
  </si>
  <si>
    <t xml:space="preserve">Learning</t>
  </si>
  <si>
    <t xml:space="preserve">Practicing</t>
  </si>
  <si>
    <t xml:space="preserve">Built</t>
  </si>
  <si>
    <t xml:space="preserve">Skip</t>
  </si>
  <si>
    <t xml:space="preserve">Progress (Built / non-skipped rows)</t>
  </si>
  <si>
    <t xml:space="preserve">Open source? legend</t>
  </si>
  <si>
    <t xml:space="preserve">OSI-style open source licence (MIT, Apache 2.0, BSD, etc.)</t>
  </si>
  <si>
    <t xml:space="preserve">Client/SDK code is open, but the model, API or hosted service is proprietary or paid</t>
  </si>
  <si>
    <t xml:space="preserve">Code visible but licence is not OSI open source (e.g. Elastic License 2.0, Sustainable Use License)</t>
  </si>
  <si>
    <t xml:space="preserve">Model weights downloadable, but licence may restrict use (e.g. Llama)</t>
  </si>
  <si>
    <t xml:space="preserve">Proprietary, hosted free tier, or not software (courses, papers, docs)</t>
  </si>
  <si>
    <t xml:space="preserve">Note: a tool that appears in several roadmaps has one row per context, so counts are per row, not per unique tool. Licences were recorded from general knowledge and can change; verify on the repo or model card before commercial use.</t>
  </si>
  <si>
    <t xml:space="preserve">#</t>
  </si>
  <si>
    <t xml:space="preserve">Roadmap</t>
  </si>
  <si>
    <t xml:space="preserve">Stage / block</t>
  </si>
  <si>
    <t xml:space="preserve">Level / step type</t>
  </si>
  <si>
    <t xml:space="preserve">Topic / skill</t>
  </si>
  <si>
    <t xml:space="preserve">Package / tool</t>
  </si>
  <si>
    <t xml:space="preserve">Open source?</t>
  </si>
  <si>
    <t xml:space="preserve">Licence</t>
  </si>
  <si>
    <t xml:space="preserve">Notes / learning resource</t>
  </si>
  <si>
    <t xml:space="preserve">Priority</t>
  </si>
  <si>
    <t xml:space="preserve">Status</t>
  </si>
  <si>
    <t xml:space="preserve">AI / Machine learning</t>
  </si>
  <si>
    <t xml:space="preserve">Understand</t>
  </si>
  <si>
    <t xml:space="preserve">AI, ML basics</t>
  </si>
  <si>
    <t xml:space="preserve">scikit-learn</t>
  </si>
  <si>
    <t xml:space="preserve">BSD-3</t>
  </si>
  <si>
    <t xml:space="preserve">Classic ML algorithms; start here</t>
  </si>
  <si>
    <t xml:space="preserve">Must</t>
  </si>
  <si>
    <t xml:space="preserve">numpy</t>
  </si>
  <si>
    <t xml:space="preserve">Array maths foundation</t>
  </si>
  <si>
    <t xml:space="preserve">pandas</t>
  </si>
  <si>
    <t xml:space="preserve">Data handling</t>
  </si>
  <si>
    <t xml:space="preserve">Andrew Ng ML Specialization (Coursera)</t>
  </si>
  <si>
    <t xml:space="preserve">Course</t>
  </si>
  <si>
    <t xml:space="preserve">Free to audit, paid for certificate. Course, not software</t>
  </si>
  <si>
    <t xml:space="preserve">Should</t>
  </si>
  <si>
    <t xml:space="preserve">Deep learning</t>
  </si>
  <si>
    <t xml:space="preserve">PyTorch</t>
  </si>
  <si>
    <t xml:space="preserve">BSD-style</t>
  </si>
  <si>
    <t xml:space="preserve">Preferred framework</t>
  </si>
  <si>
    <t xml:space="preserve">TensorFlow / Keras</t>
  </si>
  <si>
    <t xml:space="preserve">Apache 2.0</t>
  </si>
  <si>
    <t xml:space="preserve">Alternative framework</t>
  </si>
  <si>
    <t xml:space="preserve">Optional</t>
  </si>
  <si>
    <t xml:space="preserve">fast.ai course</t>
  </si>
  <si>
    <t xml:space="preserve">Apache 2.0 (library); free content</t>
  </si>
  <si>
    <t xml:space="preserve">Free practical course. PyTorch / TensorFlow tutorials also free</t>
  </si>
  <si>
    <t xml:space="preserve">NLP</t>
  </si>
  <si>
    <t xml:space="preserve">NLTK</t>
  </si>
  <si>
    <t xml:space="preserve">Teaching-oriented NLP toolkit</t>
  </si>
  <si>
    <t xml:space="preserve">spaCy</t>
  </si>
  <si>
    <t xml:space="preserve">MIT</t>
  </si>
  <si>
    <t xml:space="preserve">Production NLP. Free spaCy course available</t>
  </si>
  <si>
    <t xml:space="preserve">Transformers</t>
  </si>
  <si>
    <t xml:space="preserve">Hugging Face transformers</t>
  </si>
  <si>
    <t xml:space="preserve">Core library for models</t>
  </si>
  <si>
    <t xml:space="preserve">Hugging Face datasets</t>
  </si>
  <si>
    <t xml:space="preserve">Dataset loading</t>
  </si>
  <si>
    <t xml:space="preserve">Hugging Face LLM / NLP course</t>
  </si>
  <si>
    <t xml:space="preserve">Free, open content</t>
  </si>
  <si>
    <t xml:space="preserve">Free course</t>
  </si>
  <si>
    <t xml:space="preserve">LLM</t>
  </si>
  <si>
    <t xml:space="preserve">Learn well</t>
  </si>
  <si>
    <t xml:space="preserve">Run and inspect open models</t>
  </si>
  <si>
    <t xml:space="preserve">Anthropic SDK</t>
  </si>
  <si>
    <t xml:space="preserve">MIT (SDK); API is paid</t>
  </si>
  <si>
    <t xml:space="preserve">SDK code open; Claude models and API are proprietary, pay per use</t>
  </si>
  <si>
    <t xml:space="preserve">OpenAI SDK</t>
  </si>
  <si>
    <t xml:space="preserve">Apache 2.0 (SDK); API is paid</t>
  </si>
  <si>
    <t xml:space="preserve">SDK code open; models and API are proprietary, pay per use</t>
  </si>
  <si>
    <t xml:space="preserve">Karpathy 'Neural Networks: Zero to Hero'</t>
  </si>
  <si>
    <t xml:space="preserve">Free videos; open code</t>
  </si>
  <si>
    <t xml:space="preserve">Excellent for understanding how LLMs work</t>
  </si>
  <si>
    <t xml:space="preserve">Generative AI</t>
  </si>
  <si>
    <t xml:space="preserve">Anthropic / OpenAI SDKs</t>
  </si>
  <si>
    <t xml:space="preserve">SDK open; API paid</t>
  </si>
  <si>
    <t xml:space="preserve">Text generation via hosted models</t>
  </si>
  <si>
    <t xml:space="preserve">Hugging Face diffusers</t>
  </si>
  <si>
    <t xml:space="preserve">Image generation models, if you want the non-text side</t>
  </si>
  <si>
    <t xml:space="preserve">Ollama / local LLM</t>
  </si>
  <si>
    <t xml:space="preserve">Practice</t>
  </si>
  <si>
    <t xml:space="preserve">Local LLMs</t>
  </si>
  <si>
    <t xml:space="preserve">Ollama</t>
  </si>
  <si>
    <t xml:space="preserve">Free local models. Model licences vary (Mistral variants often Apache 2.0; Llama uses Meta community licence)</t>
  </si>
  <si>
    <t xml:space="preserve">llama.cpp</t>
  </si>
  <si>
    <t xml:space="preserve">CPU-friendly inference, GGUF format</t>
  </si>
  <si>
    <t xml:space="preserve">LM Studio</t>
  </si>
  <si>
    <t xml:space="preserve">Proprietary (free to use)</t>
  </si>
  <si>
    <t xml:space="preserve">Easy GUI for local models; closed source</t>
  </si>
  <si>
    <t xml:space="preserve">Prompt engineering</t>
  </si>
  <si>
    <t xml:space="preserve">Anthropic Prompt Engineering docs / tutorial</t>
  </si>
  <si>
    <t xml:space="preserve">Docs (free)</t>
  </si>
  <si>
    <t xml:space="preserve">Not software. Practise in the API or chat</t>
  </si>
  <si>
    <t xml:space="preserve">Embeddings</t>
  </si>
  <si>
    <t xml:space="preserve">Learn</t>
  </si>
  <si>
    <t xml:space="preserve">sentence-transformers</t>
  </si>
  <si>
    <t xml:space="preserve">Local embedding models</t>
  </si>
  <si>
    <t xml:space="preserve">chromadb</t>
  </si>
  <si>
    <t xml:space="preserve">Simple vector store</t>
  </si>
  <si>
    <t xml:space="preserve">FAISS</t>
  </si>
  <si>
    <t xml:space="preserve">Fast similarity search library</t>
  </si>
  <si>
    <t xml:space="preserve">Ollama embedding models</t>
  </si>
  <si>
    <t xml:space="preserve">MIT (Ollama); model licences vary</t>
  </si>
  <si>
    <t xml:space="preserve">Embeddings with no API cost</t>
  </si>
  <si>
    <t xml:space="preserve">RAG</t>
  </si>
  <si>
    <t xml:space="preserve">Build</t>
  </si>
  <si>
    <t xml:space="preserve">LlamaIndex</t>
  </si>
  <si>
    <t xml:space="preserve">Simplest start for RAG</t>
  </si>
  <si>
    <t xml:space="preserve">LangChain</t>
  </si>
  <si>
    <t xml:space="preserve">LangSmith (its monitoring tool) is a paid hosted product</t>
  </si>
  <si>
    <t xml:space="preserve">chromadb / FAISS</t>
  </si>
  <si>
    <t xml:space="preserve">Apache 2.0 / MIT</t>
  </si>
  <si>
    <t xml:space="preserve">Vector storage</t>
  </si>
  <si>
    <t xml:space="preserve">Qdrant</t>
  </si>
  <si>
    <t xml:space="preserve">Self-host free; Qdrant Cloud is paid</t>
  </si>
  <si>
    <t xml:space="preserve">Function / tool calling</t>
  </si>
  <si>
    <t xml:space="preserve">Tool calling</t>
  </si>
  <si>
    <t xml:space="preserve">Anthropic / OpenAI SDKs (tools parameter)</t>
  </si>
  <si>
    <t xml:space="preserve">Learn the raw API first, then frameworks</t>
  </si>
  <si>
    <t xml:space="preserve">AI agents</t>
  </si>
  <si>
    <t xml:space="preserve">Agents</t>
  </si>
  <si>
    <t xml:space="preserve">LangGraph</t>
  </si>
  <si>
    <t xml:space="preserve">Most control over agent flow</t>
  </si>
  <si>
    <t xml:space="preserve">CrewAI</t>
  </si>
  <si>
    <t xml:space="preserve">Simpler role-based agents</t>
  </si>
  <si>
    <t xml:space="preserve">AutoGen</t>
  </si>
  <si>
    <t xml:space="preserve">Microsoft has shifted focus to its newer Agent Framework; check repo status</t>
  </si>
  <si>
    <t xml:space="preserve">Claude Agent SDK</t>
  </si>
  <si>
    <t xml:space="preserve">Check repo licence; needs paid Claude API</t>
  </si>
  <si>
    <t xml:space="preserve">SDK is public but runs on the paid API</t>
  </si>
  <si>
    <t xml:space="preserve">MCP</t>
  </si>
  <si>
    <t xml:space="preserve">mcp Python SDK</t>
  </si>
  <si>
    <t xml:space="preserve">MIT / Apache 2.0</t>
  </si>
  <si>
    <t xml:space="preserve">Docs at modelcontextprotocol.io</t>
  </si>
  <si>
    <t xml:space="preserve">FastMCP</t>
  </si>
  <si>
    <t xml:space="preserve">Fast way to write MCP servers</t>
  </si>
  <si>
    <t xml:space="preserve">Agentic AI</t>
  </si>
  <si>
    <t xml:space="preserve">LangGraph + MCP + RAG (+ Ollama)</t>
  </si>
  <si>
    <t xml:space="preserve">Mixed OSS</t>
  </si>
  <si>
    <t xml:space="preserve">Learn by building one project: chat with PDFs, then RAG, tool calling, agent, MCP</t>
  </si>
  <si>
    <t xml:space="preserve">UI automation</t>
  </si>
  <si>
    <t xml:space="preserve">Automation foundation</t>
  </si>
  <si>
    <t xml:space="preserve">Playwright (Java)</t>
  </si>
  <si>
    <t xml:space="preserve">Modern, auto-waits, built-in trace viewer</t>
  </si>
  <si>
    <t xml:space="preserve">Selenium WebDriver</t>
  </si>
  <si>
    <t xml:space="preserve">Most widely used; Selenium Grid for parallel runs</t>
  </si>
  <si>
    <t xml:space="preserve">Mobile</t>
  </si>
  <si>
    <t xml:space="preserve">Appium</t>
  </si>
  <si>
    <t xml:space="preserve">Android and iOS via WebDriver protocol</t>
  </si>
  <si>
    <t xml:space="preserve">API and mobile</t>
  </si>
  <si>
    <t xml:space="preserve">API testing</t>
  </si>
  <si>
    <t xml:space="preserve">Rest Assured</t>
  </si>
  <si>
    <t xml:space="preserve">Java DSL for REST APIs</t>
  </si>
  <si>
    <t xml:space="preserve">Karate</t>
  </si>
  <si>
    <t xml:space="preserve">Alternative combining API, UI and BDD</t>
  </si>
  <si>
    <t xml:space="preserve">Postman</t>
  </si>
  <si>
    <t xml:space="preserve">Proprietary (free tier)</t>
  </si>
  <si>
    <t xml:space="preserve">Good for exploring APIs before coding tests</t>
  </si>
  <si>
    <t xml:space="preserve">Newman</t>
  </si>
  <si>
    <t xml:space="preserve">Runs Postman collections from CLI/CI</t>
  </si>
  <si>
    <t xml:space="preserve">AI + SDET</t>
  </si>
  <si>
    <t xml:space="preserve">AI layer</t>
  </si>
  <si>
    <t xml:space="preserve">LLM access from Java</t>
  </si>
  <si>
    <t xml:space="preserve">LangChain4j</t>
  </si>
  <si>
    <t xml:space="preserve">Best Java fit; supports Claude, OpenAI, Ollama</t>
  </si>
  <si>
    <t xml:space="preserve">Spring AI</t>
  </si>
  <si>
    <t xml:space="preserve">Good if framework already uses Spring</t>
  </si>
  <si>
    <t xml:space="preserve">Local models</t>
  </si>
  <si>
    <t xml:space="preserve">Free; model licences vary</t>
  </si>
  <si>
    <t xml:space="preserve">Hosted models</t>
  </si>
  <si>
    <t xml:space="preserve">Claude API / OpenAI API</t>
  </si>
  <si>
    <t xml:space="preserve">Proprietary, paid</t>
  </si>
  <si>
    <t xml:space="preserve">SDKs open but models and API paid. Usually better for code generation and root cause</t>
  </si>
  <si>
    <t xml:space="preserve">AI drives browser</t>
  </si>
  <si>
    <t xml:space="preserve">Playwright MCP</t>
  </si>
  <si>
    <t xml:space="preserve">Lets an LLM agent control a browser through MCP</t>
  </si>
  <si>
    <t xml:space="preserve">Stagehand</t>
  </si>
  <si>
    <t xml:space="preserve">AI-native browser automation (TypeScript)</t>
  </si>
  <si>
    <t xml:space="preserve">Browser Use</t>
  </si>
  <si>
    <t xml:space="preserve">AI-native browser automation (Python)</t>
  </si>
  <si>
    <t xml:space="preserve">Self-healing locators</t>
  </si>
  <si>
    <t xml:space="preserve">Healenium</t>
  </si>
  <si>
    <t xml:space="preserve">Repairs broken Selenium locators automatically</t>
  </si>
  <si>
    <t xml:space="preserve">1. Jira test case to AI</t>
  </si>
  <si>
    <t xml:space="preserve">AI step</t>
  </si>
  <si>
    <t xml:space="preserve">Workflow: AI testing agent</t>
  </si>
  <si>
    <t xml:space="preserve">LangChain4j + Jira REST API</t>
  </si>
  <si>
    <t xml:space="preserve">Apache 2.0 (library); Jira is proprietary</t>
  </si>
  <si>
    <t xml:space="preserve">Fetch issue, prompt LLM to generate scenarios. API is free to call with your account</t>
  </si>
  <si>
    <t xml:space="preserve">mcp-atlassian</t>
  </si>
  <si>
    <t xml:space="preserve">Community MCP server to read/update Jira. Atlassian's official hosted MCP server is not open source</t>
  </si>
  <si>
    <t xml:space="preserve">2. Feature file</t>
  </si>
  <si>
    <t xml:space="preserve">Automation step</t>
  </si>
  <si>
    <t xml:space="preserve">Cucumber (Gherkin)</t>
  </si>
  <si>
    <t xml:space="preserve">LLM writes .feature files; human review always</t>
  </si>
  <si>
    <t xml:space="preserve">3. Java step definitions</t>
  </si>
  <si>
    <t xml:space="preserve">Cucumber-JVM</t>
  </si>
  <si>
    <t xml:space="preserve">LLM can generate the glue code</t>
  </si>
  <si>
    <t xml:space="preserve">4. Page objects</t>
  </si>
  <si>
    <t xml:space="preserve">Selenium PageFactory / Playwright page classes</t>
  </si>
  <si>
    <t xml:space="preserve">Keep locators in one place so self-healing and AI fixes are easy</t>
  </si>
  <si>
    <t xml:space="preserve">5. Test execution</t>
  </si>
  <si>
    <t xml:space="preserve">JUnit 5</t>
  </si>
  <si>
    <t xml:space="preserve">EPL 2.0</t>
  </si>
  <si>
    <t xml:space="preserve">Test runner</t>
  </si>
  <si>
    <t xml:space="preserve">TestNG</t>
  </si>
  <si>
    <t xml:space="preserve">Alternative runner, strong parallel support</t>
  </si>
  <si>
    <t xml:space="preserve">Maven / Gradle</t>
  </si>
  <si>
    <t xml:space="preserve">Build tools</t>
  </si>
  <si>
    <t xml:space="preserve">Jenkins</t>
  </si>
  <si>
    <t xml:space="preserve">CI server. GitHub Actions is a hosted service (free tier), not open source</t>
  </si>
  <si>
    <t xml:space="preserve">6. Failure analysis</t>
  </si>
  <si>
    <t xml:space="preserve">Logs, screenshots, Playwright traces, Allure attachments</t>
  </si>
  <si>
    <t xml:space="preserve">Various OSS</t>
  </si>
  <si>
    <t xml:space="preserve">Collect all of this as input for the AI step</t>
  </si>
  <si>
    <t xml:space="preserve">7. AI root cause</t>
  </si>
  <si>
    <t xml:space="preserve">LLM (Ollama or Claude/OpenAI) via LangChain4j</t>
  </si>
  <si>
    <t xml:space="preserve">Depends on model</t>
  </si>
  <si>
    <t xml:space="preserve">Feed stack trace, logs, screenshot and DOM snippet</t>
  </si>
  <si>
    <t xml:space="preserve">8. AI suggested fix</t>
  </si>
  <si>
    <t xml:space="preserve">Same LLM; optionally Claude Code or an agent framework</t>
  </si>
  <si>
    <t xml:space="preserve">Output as a diff or PR for human review; never auto-merge</t>
  </si>
  <si>
    <t xml:space="preserve">9. Report and dashboard</t>
  </si>
  <si>
    <t xml:space="preserve">Allure Report</t>
  </si>
  <si>
    <t xml:space="preserve">Most popular reporting for Cucumber</t>
  </si>
  <si>
    <t xml:space="preserve">ReportPortal</t>
  </si>
  <si>
    <t xml:space="preserve">ML-based failure grouping; self-hosted dashboard</t>
  </si>
  <si>
    <t xml:space="preserve">Extent Reports</t>
  </si>
  <si>
    <t xml:space="preserve">Simple HTML reports</t>
  </si>
  <si>
    <t xml:space="preserve">Grafana</t>
  </si>
  <si>
    <t xml:space="preserve">AGPL v3</t>
  </si>
  <si>
    <t xml:space="preserve">Custom dashboards for trends across runs</t>
  </si>
  <si>
    <t xml:space="preserve">Multi-agent systems</t>
  </si>
  <si>
    <t xml:space="preserve">Advanced (both tracks)</t>
  </si>
  <si>
    <t xml:space="preserve">Agent roles, handoffs</t>
  </si>
  <si>
    <t xml:space="preserve">Best control over roles, state and handoffs</t>
  </si>
  <si>
    <t xml:space="preserve">Role-based agents</t>
  </si>
  <si>
    <t xml:space="preserve">Check repo status (Microsoft focus has shifted)</t>
  </si>
  <si>
    <t xml:space="preserve">OpenAI Agents SDK</t>
  </si>
  <si>
    <t xml:space="preserve">Works with other models too</t>
  </si>
  <si>
    <t xml:space="preserve">LLM evaluation</t>
  </si>
  <si>
    <t xml:space="preserve">LLM-as-judge, regression sets</t>
  </si>
  <si>
    <t xml:space="preserve">DeepEval</t>
  </si>
  <si>
    <t xml:space="preserve">Pytest-style LLM tests, LLM-as-judge metrics</t>
  </si>
  <si>
    <t xml:space="preserve">Ragas</t>
  </si>
  <si>
    <t xml:space="preserve">RAG quality metrics</t>
  </si>
  <si>
    <t xml:space="preserve">promptfoo</t>
  </si>
  <si>
    <t xml:space="preserve">Regression sets and prompt comparison from YAML; good for CI</t>
  </si>
  <si>
    <t xml:space="preserve">TruLens</t>
  </si>
  <si>
    <t xml:space="preserve">Feedback functions and tracing</t>
  </si>
  <si>
    <t xml:space="preserve">LangSmith evals</t>
  </si>
  <si>
    <t xml:space="preserve">Hosted</t>
  </si>
  <si>
    <t xml:space="preserve">Guardrails and safety</t>
  </si>
  <si>
    <t xml:space="preserve">Validation, prompt injection</t>
  </si>
  <si>
    <t xml:space="preserve">Pydantic</t>
  </si>
  <si>
    <t xml:space="preserve">Schema validation of LLM output; a must-have</t>
  </si>
  <si>
    <t xml:space="preserve">Guardrails AI</t>
  </si>
  <si>
    <t xml:space="preserve">Output validation, structured output checks</t>
  </si>
  <si>
    <t xml:space="preserve">NeMo Guardrails</t>
  </si>
  <si>
    <t xml:space="preserve">Conversation rails from NVIDIA</t>
  </si>
  <si>
    <t xml:space="preserve">LLM Guard</t>
  </si>
  <si>
    <t xml:space="preserve">Input/output scanners, prompt injection detection</t>
  </si>
  <si>
    <t xml:space="preserve">garak</t>
  </si>
  <si>
    <t xml:space="preserve">Red-teaming / prompt injection testing</t>
  </si>
  <si>
    <t xml:space="preserve">PyRIT</t>
  </si>
  <si>
    <t xml:space="preserve">Red-teaming toolkit</t>
  </si>
  <si>
    <t xml:space="preserve">Llama Guard</t>
  </si>
  <si>
    <t xml:space="preserve">Llama community licence</t>
  </si>
  <si>
    <t xml:space="preserve">Safety classifier model</t>
  </si>
  <si>
    <t xml:space="preserve">Observability</t>
  </si>
  <si>
    <t xml:space="preserve">Tracing</t>
  </si>
  <si>
    <t xml:space="preserve">Langfuse</t>
  </si>
  <si>
    <t xml:space="preserve">MIT (core); some enterprise features separate</t>
  </si>
  <si>
    <t xml:space="preserve">Self-hostable: tracing, prompts, evals</t>
  </si>
  <si>
    <t xml:space="preserve">LangSmith</t>
  </si>
  <si>
    <t xml:space="preserve">Best if you use LangChain/LangGraph</t>
  </si>
  <si>
    <t xml:space="preserve">Arize Phoenix</t>
  </si>
  <si>
    <t xml:space="preserve">Elastic License 2.0</t>
  </si>
  <si>
    <t xml:space="preserve">Free to self-host; not OSI open source</t>
  </si>
  <si>
    <t xml:space="preserve">OpenTelemetry + OpenLLMetry</t>
  </si>
  <si>
    <t xml:space="preserve">Vendor-neutral tracing standard</t>
  </si>
  <si>
    <t xml:space="preserve">Helicone / MLflow</t>
  </si>
  <si>
    <t xml:space="preserve">Alternatives for logging and tracking</t>
  </si>
  <si>
    <t xml:space="preserve">Advanced RAG</t>
  </si>
  <si>
    <t xml:space="preserve">Hybrid search, reranking</t>
  </si>
  <si>
    <t xml:space="preserve">Hybrid (keyword + vector) search</t>
  </si>
  <si>
    <t xml:space="preserve">Weaviate</t>
  </si>
  <si>
    <t xml:space="preserve">Hybrid search</t>
  </si>
  <si>
    <t xml:space="preserve">Milvus</t>
  </si>
  <si>
    <t xml:space="preserve">Scalable vector DB</t>
  </si>
  <si>
    <t xml:space="preserve">pgvector</t>
  </si>
  <si>
    <t xml:space="preserve">PostgreSQL licence</t>
  </si>
  <si>
    <t xml:space="preserve">Good if you already use Postgres</t>
  </si>
  <si>
    <t xml:space="preserve">OpenSearch</t>
  </si>
  <si>
    <t xml:space="preserve">Mature hybrid search</t>
  </si>
  <si>
    <t xml:space="preserve">rank_bm25</t>
  </si>
  <si>
    <t xml:space="preserve">Simple keyword scoring for hybrid search</t>
  </si>
  <si>
    <t xml:space="preserve">Cross-encoders / BGE reranker</t>
  </si>
  <si>
    <t xml:space="preserve">Free local reranking</t>
  </si>
  <si>
    <t xml:space="preserve">Cohere Rerank</t>
  </si>
  <si>
    <t xml:space="preserve">Proprietary API (paid)</t>
  </si>
  <si>
    <t xml:space="preserve">Strong hosted option</t>
  </si>
  <si>
    <t xml:space="preserve">Production and deployment</t>
  </si>
  <si>
    <t xml:space="preserve">Docker, CI/CD, retries</t>
  </si>
  <si>
    <t xml:space="preserve">Docker (Moby engine)</t>
  </si>
  <si>
    <t xml:space="preserve">Docker Desktop has paid tiers for larger companies</t>
  </si>
  <si>
    <t xml:space="preserve">Kubernetes</t>
  </si>
  <si>
    <t xml:space="preserve">Only when you need scale</t>
  </si>
  <si>
    <t xml:space="preserve">CI/CD</t>
  </si>
  <si>
    <t xml:space="preserve">GitHub Actions</t>
  </si>
  <si>
    <t xml:space="preserve">Hosted service (free tier)</t>
  </si>
  <si>
    <t xml:space="preserve">Easiest CI/CD</t>
  </si>
  <si>
    <t xml:space="preserve">tenacity</t>
  </si>
  <si>
    <t xml:space="preserve">Retries with backoff for LLM calls</t>
  </si>
  <si>
    <t xml:space="preserve">Temporal</t>
  </si>
  <si>
    <t xml:space="preserve">Durable, retryable long-running agent workflows</t>
  </si>
  <si>
    <t xml:space="preserve">UI, API, mobile testing</t>
  </si>
  <si>
    <t xml:space="preserve">AI-SDET track (main path)</t>
  </si>
  <si>
    <t xml:space="preserve">Testing</t>
  </si>
  <si>
    <t xml:space="preserve">Playwright, Selenium, Appium, Rest Assured</t>
  </si>
  <si>
    <t xml:space="preserve">See roadmap 2</t>
  </si>
  <si>
    <t xml:space="preserve">WireMock</t>
  </si>
  <si>
    <t xml:space="preserve">Mock APIs so tests are stable</t>
  </si>
  <si>
    <t xml:space="preserve">Testcontainers</t>
  </si>
  <si>
    <t xml:space="preserve">Spin up databases/services in Docker for tests</t>
  </si>
  <si>
    <t xml:space="preserve">LangChain4j, Spring AI, Healenium, Playwright MCP</t>
  </si>
  <si>
    <t xml:space="preserve">AI testing agent</t>
  </si>
  <si>
    <t xml:space="preserve">Agent</t>
  </si>
  <si>
    <t xml:space="preserve">LangGraph (Python) or LangChain4j (Java) + MCP</t>
  </si>
  <si>
    <t xml:space="preserve">Separate agents for generating tests, running them, analysing failures</t>
  </si>
  <si>
    <t xml:space="preserve">Jira-to-report pipeline</t>
  </si>
  <si>
    <t xml:space="preserve">Pipeline</t>
  </si>
  <si>
    <t xml:space="preserve">Agent reads Jira</t>
  </si>
  <si>
    <t xml:space="preserve">Cucumber-JVM + JUnit 5</t>
  </si>
  <si>
    <t xml:space="preserve">MIT / EPL 2.0</t>
  </si>
  <si>
    <t xml:space="preserve">Generate and run tests</t>
  </si>
  <si>
    <t xml:space="preserve">Allure / ReportPortal</t>
  </si>
  <si>
    <t xml:space="preserve">Reports and dashboards</t>
  </si>
  <si>
    <t xml:space="preserve">n8n</t>
  </si>
  <si>
    <t xml:space="preserve">Sustainable Use License</t>
  </si>
  <si>
    <t xml:space="preserve">Optional visual orchestration; Jenkins is the fully open alternative</t>
  </si>
  <si>
    <t xml:space="preserve">FastAPI and async</t>
  </si>
  <si>
    <t xml:space="preserve">AI developer track (optional, later)</t>
  </si>
  <si>
    <t xml:space="preserve">Serving</t>
  </si>
  <si>
    <t xml:space="preserve">FastAPI</t>
  </si>
  <si>
    <t xml:space="preserve">Serve agents as APIs</t>
  </si>
  <si>
    <t xml:space="preserve">Uvicorn, httpx</t>
  </si>
  <si>
    <t xml:space="preserve">BSD</t>
  </si>
  <si>
    <t xml:space="preserve">ASGI server and async HTTP client</t>
  </si>
  <si>
    <t xml:space="preserve">asyncio</t>
  </si>
  <si>
    <t xml:space="preserve">Python stdlib</t>
  </si>
  <si>
    <t xml:space="preserve">Needed for parallel LLM calls</t>
  </si>
  <si>
    <t xml:space="preserve">Fine-tuning small models</t>
  </si>
  <si>
    <t xml:space="preserve">Fine-tuning</t>
  </si>
  <si>
    <t xml:space="preserve">Hugging Face PEFT, TRL</t>
  </si>
  <si>
    <t xml:space="preserve">LoRA/QLoRA standard stack</t>
  </si>
  <si>
    <t xml:space="preserve">Unsloth, Axolotl, LLaMA-Factory</t>
  </si>
  <si>
    <t xml:space="preserve">Easier fine-tuning on a single GPU</t>
  </si>
  <si>
    <t xml:space="preserve">Base models (Llama, Qwen, Mistral, Gemma)</t>
  </si>
  <si>
    <t xml:space="preserve">Licences differ per model</t>
  </si>
  <si>
    <t xml:space="preserve">Check commercial terms on each model card</t>
  </si>
  <si>
    <t xml:space="preserve">Quantization and vLLM</t>
  </si>
  <si>
    <t xml:space="preserve">Serving / quantization</t>
  </si>
  <si>
    <t xml:space="preserve">vLLM</t>
  </si>
  <si>
    <t xml:space="preserve">High-throughput serving; needs a GPU</t>
  </si>
  <si>
    <t xml:space="preserve">GGUF quantization, runs on CPU</t>
  </si>
  <si>
    <t xml:space="preserve">bitsandbytes, AutoAWQ</t>
  </si>
  <si>
    <t xml:space="preserve">4/8-bit quantization</t>
  </si>
  <si>
    <t xml:space="preserve">Easiest local serving</t>
  </si>
  <si>
    <t xml:space="preserve">RLHF and research</t>
  </si>
  <si>
    <t xml:space="preserve">Research</t>
  </si>
  <si>
    <t xml:space="preserve">TRL (PPO, DPO), OpenRLHF</t>
  </si>
  <si>
    <t xml:space="preserve">Preference tuning</t>
  </si>
  <si>
    <t xml:space="preserve">Weights &amp; Biases</t>
  </si>
  <si>
    <t xml:space="preserve">Experiment tracking; MLflow is the open alternative</t>
  </si>
  <si>
    <t xml:space="preserve">arXiv papers (InstructGPT, DPO)</t>
  </si>
  <si>
    <t xml:space="preserve">Papers (free to read)</t>
  </si>
  <si>
    <t xml:space="preserve">Reading list, not a tool</t>
  </si>
  <si>
    <t xml:space="preserve">Jira test case to AI</t>
  </si>
  <si>
    <t xml:space="preserve">Guardrails</t>
  </si>
  <si>
    <t xml:space="preserve">Pydantic, Guardrails AI</t>
  </si>
  <si>
    <t xml:space="preserve">Validate LLM output schema</t>
  </si>
  <si>
    <t xml:space="preserve">Jira text is untrusted input; scan for prompt injection</t>
  </si>
  <si>
    <t xml:space="preserve">Qdrant or pgvector + reranker</t>
  </si>
  <si>
    <t xml:space="preserve">Apache 2.0 / PostgreSQL</t>
  </si>
  <si>
    <t xml:space="preserve">Retrieve similar past test cases so output matches your style</t>
  </si>
  <si>
    <t xml:space="preserve">Feature file</t>
  </si>
  <si>
    <t xml:space="preserve">Evaluation</t>
  </si>
  <si>
    <t xml:space="preserve">promptfoo, DeepEval</t>
  </si>
  <si>
    <t xml:space="preserve">Regression set of Jira tickets with expected scenarios; check on every prompt/model change</t>
  </si>
  <si>
    <t xml:space="preserve">Java step definitions</t>
  </si>
  <si>
    <t xml:space="preserve">Multi-agent</t>
  </si>
  <si>
    <t xml:space="preserve">LangGraph, LangChain4j</t>
  </si>
  <si>
    <t xml:space="preserve">Separate 'coder' and 'reviewer' agents</t>
  </si>
  <si>
    <t xml:space="preserve">Page objects</t>
  </si>
  <si>
    <t xml:space="preserve">Self-healing</t>
  </si>
  <si>
    <t xml:space="preserve">Keeps the page-object layer stable</t>
  </si>
  <si>
    <t xml:space="preserve">Test execution</t>
  </si>
  <si>
    <t xml:space="preserve">Docker, Testcontainers, Jenkins, tenacity</t>
  </si>
  <si>
    <t xml:space="preserve">Run in containers in CI; retry flaky infrastructure calls, not flaky tests</t>
  </si>
  <si>
    <t xml:space="preserve">Failure analysis</t>
  </si>
  <si>
    <t xml:space="preserve">Langfuse, OpenTelemetry</t>
  </si>
  <si>
    <t xml:space="preserve">Trace every agent run: what the LLM was given and returned</t>
  </si>
  <si>
    <t xml:space="preserve">AI root cause</t>
  </si>
  <si>
    <t xml:space="preserve">Evaluation, advanced RAG</t>
  </si>
  <si>
    <t xml:space="preserve">Ragas, DeepEval (LLM-as-judge)</t>
  </si>
  <si>
    <t xml:space="preserve">Check diagnosis correctness; retrieve past failures and fixes from a vector store</t>
  </si>
  <si>
    <t xml:space="preserve">AI suggested fix</t>
  </si>
  <si>
    <t xml:space="preserve">Guardrails, multi-agent</t>
  </si>
  <si>
    <t xml:space="preserve">Guardrails AI, garak / PyRIT</t>
  </si>
  <si>
    <t xml:space="preserve">Restrict what the agent can edit; output diff/PR; require human approval</t>
  </si>
  <si>
    <t xml:space="preserve">Report and dashboard</t>
  </si>
  <si>
    <t xml:space="preserve">Observability and reporting</t>
  </si>
  <si>
    <t xml:space="preserve">Allure, ReportPortal, Grafana</t>
  </si>
  <si>
    <t xml:space="preserve">Apache 2.0 / AGPL v3</t>
  </si>
  <si>
    <t xml:space="preserve">Add AI metrics next to test metrics: root-cause accuracy, fix acceptance rate, cost per run</t>
  </si>
  <si>
    <t xml:space="preserve">Phase</t>
  </si>
  <si>
    <t xml:space="preserve">Focus</t>
  </si>
  <si>
    <t xml:space="preserve">Do this</t>
  </si>
  <si>
    <t xml:space="preserve">Key tools</t>
  </si>
  <si>
    <t xml:space="preserve">Done when</t>
  </si>
  <si>
    <t xml:space="preserve">Foundations (grey 'Understand' stages)</t>
  </si>
  <si>
    <t xml:space="preserve">Learn the concepts; do not spend too long here</t>
  </si>
  <si>
    <t xml:space="preserve">scikit-learn, PyTorch basics, spaCy, Hugging Face transformers</t>
  </si>
  <si>
    <t xml:space="preserve">You can explain ML, deep learning, NLP and transformers in plain words</t>
  </si>
  <si>
    <t xml:space="preserve">LLMs and local practice</t>
  </si>
  <si>
    <t xml:space="preserve">Call an LLM API; install Ollama early; practise prompting</t>
  </si>
  <si>
    <t xml:space="preserve">Anthropic SDK, Ollama, llama.cpp</t>
  </si>
  <si>
    <t xml:space="preserve">You can run a local model and write structured prompts</t>
  </si>
  <si>
    <t xml:space="preserve">Embeddings and RAG</t>
  </si>
  <si>
    <t xml:space="preserve">Build a 'chat with my PDFs' app</t>
  </si>
  <si>
    <t xml:space="preserve">sentence-transformers, chromadb, LlamaIndex</t>
  </si>
  <si>
    <t xml:space="preserve">Answers cite retrieved chunks from your documents</t>
  </si>
  <si>
    <t xml:space="preserve">Tool calling, agents, MCP</t>
  </si>
  <si>
    <t xml:space="preserve">Add tool calling, turn it into an agent, expose a tool via MCP</t>
  </si>
  <si>
    <t xml:space="preserve">Anthropic SDK tools, LangGraph, mcp SDK, FastMCP</t>
  </si>
  <si>
    <t xml:space="preserve">An agent calls your MCP tool end to end</t>
  </si>
  <si>
    <t xml:space="preserve">Test automation base (AI-SDET)</t>
  </si>
  <si>
    <t xml:space="preserve">Solidify the Java automation stack</t>
  </si>
  <si>
    <t xml:space="preserve">Playwright/Selenium, Appium, Rest Assured, Cucumber-JVM, JUnit 5, Allure</t>
  </si>
  <si>
    <t xml:space="preserve">A BDD suite runs in CI with reports</t>
  </si>
  <si>
    <t xml:space="preserve">AI in the test workflow</t>
  </si>
  <si>
    <t xml:space="preserve">Generate feature files from Jira; analyse failures with an LLM</t>
  </si>
  <si>
    <t xml:space="preserve">LangChain4j, mcp-atlassian, Healenium, Playwright MCP</t>
  </si>
  <si>
    <t xml:space="preserve">Jira ticket produces a reviewed feature file; a failure produces a root-cause note</t>
  </si>
  <si>
    <t xml:space="preserve">Evaluation first</t>
  </si>
  <si>
    <t xml:space="preserve">Build a regression set and score AI output</t>
  </si>
  <si>
    <t xml:space="preserve">Prompt or model changes are blocked if quality drops</t>
  </si>
  <si>
    <t xml:space="preserve">Validate inputs and outputs of every AI step</t>
  </si>
  <si>
    <t xml:space="preserve">Pydantic, Guardrails AI, LLM Guard</t>
  </si>
  <si>
    <t xml:space="preserve">Malformed or injected content is rejected</t>
  </si>
  <si>
    <t xml:space="preserve">Trace every agent run</t>
  </si>
  <si>
    <t xml:space="preserve">Langfuse (self-hosted), OpenTelemetry</t>
  </si>
  <si>
    <t xml:space="preserve">You can see exactly what the LLM saw on any failed run</t>
  </si>
  <si>
    <t xml:space="preserve">Multi-agent and deployment</t>
  </si>
  <si>
    <t xml:space="preserve">Split coder, reviewer and analyst agents; containerise; run in CI</t>
  </si>
  <si>
    <t xml:space="preserve">LangGraph, Docker, Jenkins, tenacity</t>
  </si>
  <si>
    <t xml:space="preserve">Full Jira-to-report pipeline runs unattended with a human approval gate on fixes</t>
  </si>
  <si>
    <t xml:space="preserve">Advanced RAG (as needed)</t>
  </si>
  <si>
    <t xml:space="preserve">Search large test-case and defect history</t>
  </si>
  <si>
    <t xml:space="preserve">Qdrant or pgvector, BM25, reranker</t>
  </si>
  <si>
    <t xml:space="preserve">Root-cause step retrieves similar past failures</t>
  </si>
  <si>
    <t xml:space="preserve">Only after the SDET pipeline works</t>
  </si>
  <si>
    <t xml:space="preserve">FastAPI, PEFT/TRL, vLLM, llama.cpp</t>
  </si>
  <si>
    <t xml:space="preserve">Optional; needs a GPU for most items</t>
  </si>
  <si>
    <t xml:space="preserve">Layer</t>
  </si>
  <si>
    <t xml:space="preserve">Open-source choice</t>
  </si>
  <si>
    <t xml:space="preserve">Instead of (paid / proprietary)</t>
  </si>
  <si>
    <t xml:space="preserve">Test automation</t>
  </si>
  <si>
    <t xml:space="preserve">Playwright or Selenium, Appium, Rest Assured</t>
  </si>
  <si>
    <t xml:space="preserve">Commercial test platforms</t>
  </si>
  <si>
    <t xml:space="preserve">BDD / runner / build</t>
  </si>
  <si>
    <t xml:space="preserve">Cucumber-JVM, JUnit 5, Maven</t>
  </si>
  <si>
    <t xml:space="preserve">-</t>
  </si>
  <si>
    <t xml:space="preserve">LLM (local)</t>
  </si>
  <si>
    <t xml:space="preserve">Ollama with an open model (check model licence)</t>
  </si>
  <si>
    <t xml:space="preserve">Claude / OpenAI API</t>
  </si>
  <si>
    <t xml:space="preserve">Orchestration / agents</t>
  </si>
  <si>
    <t xml:space="preserve">Tool access</t>
  </si>
  <si>
    <t xml:space="preserve">MCP SDK, mcp-atlassian, Playwright MCP</t>
  </si>
  <si>
    <t xml:space="preserve">Hosted embedding APIs</t>
  </si>
  <si>
    <t xml:space="preserve">Vector store</t>
  </si>
  <si>
    <t xml:space="preserve">Qdrant or chromadb (pgvector if on Postgres)</t>
  </si>
  <si>
    <t xml:space="preserve">Managed vector DBs</t>
  </si>
  <si>
    <t xml:space="preserve">promptfoo or DeepEval</t>
  </si>
  <si>
    <t xml:space="preserve">CI/CD and containers</t>
  </si>
  <si>
    <t xml:space="preserve">Jenkins, Docker</t>
  </si>
  <si>
    <t xml:space="preserve">GitHub Actions (hosted)</t>
  </si>
  <si>
    <t xml:space="preserve">Reporting</t>
  </si>
  <si>
    <t xml:space="preserve">Allure or ReportPortal, Grafana</t>
  </si>
  <si>
    <t xml:space="preserve">Note</t>
  </si>
  <si>
    <t xml:space="preserve">Almost all libraries are open source. Cost comes from proprietary hosted models (Claude, GPT) and managed cloud services.</t>
  </si>
  <si>
    <t xml:space="preserve">Local models via Ollama are free but weaker at code generation and failure diagnosis than hosted models. Many teams experiment locally and use a hosted model in the real pipeline.</t>
  </si>
  <si>
    <t xml:space="preserve">Keep a human review step for generated feature files and AI-suggested fixes. AI-generated tests can pass while testing the wrong thing. Never auto-merge fixes.</t>
  </si>
  <si>
    <t xml:space="preserve">Treat Jira text as untrusted input (prompt injection risk). Avoid sending sensitive Jira content or test data to a hosted API unless company policy allows it; Ollama is the alternative.</t>
  </si>
  <si>
    <t xml:space="preserve">Java and Python will mix. The test framework is Java, but DeepEval, Ragas, Guardrails AI and the Langfuse SDK are Python-first. Common pattern: a small Python service for the AI steps that Java tests call over REST, or use LangChain4j and call Langfuse/promptfoo from the pipeline.</t>
  </si>
  <si>
    <t xml:space="preserve">Some 'open' tools are source-available (Arize Phoenix, n8n) or open weights with restrictions (Llama). These are flagged in the Open source? column.</t>
  </si>
  <si>
    <t xml:space="preserve">LLM-as-judge is a technique, not a package. Use a stronger model as judge than the one being judged, and spot-check the judge against human review.</t>
  </si>
  <si>
    <t xml:space="preserve">Fine-tuning, vLLM and RLHF generally need a GPU, which is why the AI developer track is optional and later.</t>
  </si>
  <si>
    <t xml:space="preserve">Licences and project status change (for example AutoGen's focus shift, new licence terms). Verify on the repo or model card before commercial use.</t>
  </si>
  <si>
    <t xml:space="preserve">Fully open-source stack: Playwright/Selenium + Cucumber-JVM + Rest Assured + JUnit 5 + Maven + LangChain4j + LangGraph + Ollama + Qdrant + promptfoo/DeepEval + Langfuse + Docker + Jenkins + Allure.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</si>
</sst>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6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 t="n">
        <f aca="false">COUNTIF('All Tools'!$B$2:$B$139,A6)</f>
        <v>38</v>
      </c>
    </row>
    <row r="7" customFormat="false" ht="15" hidden="false" customHeight="false" outlineLevel="0" collapsed="false">
      <c r="A7" s="5" t="s">
        <v>6</v>
      </c>
      <c r="B7" s="5" t="n">
        <f aca="false">COUNTIF('All Tools'!$B$2:$B$139,A7)</f>
        <v>31</v>
      </c>
    </row>
    <row r="8" customFormat="false" ht="15" hidden="false" customHeight="false" outlineLevel="0" collapsed="false">
      <c r="A8" s="5" t="s">
        <v>7</v>
      </c>
      <c r="B8" s="5" t="n">
        <f aca="false">COUNTIF('All Tools'!$B$2:$B$139,A8)</f>
        <v>58</v>
      </c>
    </row>
    <row r="9" customFormat="false" ht="15" hidden="false" customHeight="false" outlineLevel="0" collapsed="false">
      <c r="A9" s="5" t="s">
        <v>8</v>
      </c>
      <c r="B9" s="5" t="n">
        <f aca="false">COUNTIF('All Tools'!$B$2:$B$139,A9)</f>
        <v>11</v>
      </c>
    </row>
    <row r="10" customFormat="false" ht="15" hidden="false" customHeight="false" outlineLevel="0" collapsed="false">
      <c r="A10" s="3" t="s">
        <v>9</v>
      </c>
      <c r="B10" s="3" t="n">
        <f aca="false">SUM(B6:B9)</f>
        <v>138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4" t="s">
        <v>3</v>
      </c>
      <c r="B13" s="4" t="s">
        <v>4</v>
      </c>
    </row>
    <row r="14" customFormat="false" ht="15" hidden="false" customHeight="false" outlineLevel="0" collapsed="false">
      <c r="A14" s="5" t="s">
        <v>11</v>
      </c>
      <c r="B14" s="5" t="n">
        <f aca="false">COUNTIF('All Tools'!$G$2:$G$139,A14)</f>
        <v>114</v>
      </c>
    </row>
    <row r="15" customFormat="false" ht="15" hidden="false" customHeight="false" outlineLevel="0" collapsed="false">
      <c r="A15" s="5" t="s">
        <v>12</v>
      </c>
      <c r="B15" s="5" t="n">
        <f aca="false">COUNTIF('All Tools'!$G$2:$G$139,A15)</f>
        <v>9</v>
      </c>
    </row>
    <row r="16" customFormat="false" ht="15" hidden="false" customHeight="false" outlineLevel="0" collapsed="false">
      <c r="A16" s="5" t="s">
        <v>13</v>
      </c>
      <c r="B16" s="5" t="n">
        <f aca="false">COUNTIF('All Tools'!$G$2:$G$139,A16)</f>
        <v>2</v>
      </c>
    </row>
    <row r="17" customFormat="false" ht="15" hidden="false" customHeight="false" outlineLevel="0" collapsed="false">
      <c r="A17" s="5" t="s">
        <v>14</v>
      </c>
      <c r="B17" s="5" t="n">
        <f aca="false">COUNTIF('All Tools'!$G$2:$G$139,A17)</f>
        <v>2</v>
      </c>
    </row>
    <row r="18" customFormat="false" ht="15" hidden="false" customHeight="false" outlineLevel="0" collapsed="false">
      <c r="A18" s="5" t="s">
        <v>15</v>
      </c>
      <c r="B18" s="5" t="n">
        <f aca="false">COUNTIF('All Tools'!$G$2:$G$139,A18)</f>
        <v>11</v>
      </c>
    </row>
    <row r="19" customFormat="false" ht="15" hidden="false" customHeight="false" outlineLevel="0" collapsed="false">
      <c r="A19" s="3" t="s">
        <v>9</v>
      </c>
      <c r="B19" s="3" t="n">
        <f aca="false">SUM(B14:B18)</f>
        <v>138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4" t="s">
        <v>3</v>
      </c>
      <c r="B22" s="4" t="s">
        <v>4</v>
      </c>
    </row>
    <row r="23" customFormat="false" ht="15" hidden="false" customHeight="false" outlineLevel="0" collapsed="false">
      <c r="A23" s="5" t="s">
        <v>17</v>
      </c>
      <c r="B23" s="5" t="n">
        <f aca="false">COUNTIF('All Tools'!$K$2:$K$139,A23)</f>
        <v>138</v>
      </c>
    </row>
    <row r="24" customFormat="false" ht="15" hidden="false" customHeight="false" outlineLevel="0" collapsed="false">
      <c r="A24" s="5" t="s">
        <v>18</v>
      </c>
      <c r="B24" s="5" t="n">
        <f aca="false">COUNTIF('All Tools'!$K$2:$K$139,A24)</f>
        <v>0</v>
      </c>
    </row>
    <row r="25" customFormat="false" ht="15" hidden="false" customHeight="false" outlineLevel="0" collapsed="false">
      <c r="A25" s="5" t="s">
        <v>19</v>
      </c>
      <c r="B25" s="5" t="n">
        <f aca="false">COUNTIF('All Tools'!$K$2:$K$139,A25)</f>
        <v>0</v>
      </c>
    </row>
    <row r="26" customFormat="false" ht="15" hidden="false" customHeight="false" outlineLevel="0" collapsed="false">
      <c r="A26" s="5" t="s">
        <v>20</v>
      </c>
      <c r="B26" s="5" t="n">
        <f aca="false">COUNTIF('All Tools'!$K$2:$K$139,A26)</f>
        <v>0</v>
      </c>
    </row>
    <row r="27" customFormat="false" ht="15" hidden="false" customHeight="false" outlineLevel="0" collapsed="false">
      <c r="A27" s="5" t="s">
        <v>21</v>
      </c>
      <c r="B27" s="5" t="n">
        <f aca="false">COUNTIF('All Tools'!$K$2:$K$139,A27)</f>
        <v>0</v>
      </c>
    </row>
    <row r="28" customFormat="false" ht="15" hidden="false" customHeight="false" outlineLevel="0" collapsed="false">
      <c r="A28" s="3" t="s">
        <v>9</v>
      </c>
      <c r="B28" s="3" t="n">
        <f aca="false">SUM(B23:B27)</f>
        <v>138</v>
      </c>
    </row>
    <row r="29" customFormat="false" ht="15" hidden="false" customHeight="false" outlineLevel="0" collapsed="false">
      <c r="A29" s="3" t="s">
        <v>22</v>
      </c>
      <c r="B29" s="6" t="n">
        <f aca="false">IFERROR(COUNTIF('All Tools'!$K$2:$K$139,"Built")/(COUNTA('All Tools'!$K$2:$K$139)-COUNTIF('All Tools'!$K$2:$K$139,"Skip")),0)</f>
        <v>0</v>
      </c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7" t="s">
        <v>11</v>
      </c>
      <c r="B32" s="8" t="s">
        <v>24</v>
      </c>
      <c r="C32" s="8"/>
      <c r="D32" s="8"/>
      <c r="E32" s="8"/>
      <c r="F32" s="8"/>
    </row>
    <row r="33" customFormat="false" ht="15" hidden="false" customHeight="false" outlineLevel="0" collapsed="false">
      <c r="A33" s="9" t="s">
        <v>12</v>
      </c>
      <c r="B33" s="8" t="s">
        <v>25</v>
      </c>
      <c r="C33" s="8"/>
      <c r="D33" s="8"/>
      <c r="E33" s="8"/>
      <c r="F33" s="8"/>
    </row>
    <row r="34" customFormat="false" ht="15" hidden="false" customHeight="false" outlineLevel="0" collapsed="false">
      <c r="A34" s="10" t="s">
        <v>13</v>
      </c>
      <c r="B34" s="8" t="s">
        <v>26</v>
      </c>
      <c r="C34" s="8"/>
      <c r="D34" s="8"/>
      <c r="E34" s="8"/>
      <c r="F34" s="8"/>
    </row>
    <row r="35" customFormat="false" ht="15" hidden="false" customHeight="false" outlineLevel="0" collapsed="false">
      <c r="A35" s="9" t="s">
        <v>14</v>
      </c>
      <c r="B35" s="8" t="s">
        <v>27</v>
      </c>
      <c r="C35" s="8"/>
      <c r="D35" s="8"/>
      <c r="E35" s="8"/>
      <c r="F35" s="8"/>
    </row>
    <row r="36" customFormat="false" ht="15" hidden="false" customHeight="false" outlineLevel="0" collapsed="false">
      <c r="A36" s="11" t="s">
        <v>15</v>
      </c>
      <c r="B36" s="8" t="s">
        <v>28</v>
      </c>
      <c r="C36" s="8"/>
      <c r="D36" s="8"/>
      <c r="E36" s="8"/>
      <c r="F36" s="8"/>
    </row>
    <row r="38" customFormat="false" ht="39.75" hidden="false" customHeight="true" outlineLevel="0" collapsed="false">
      <c r="A38" s="12" t="s">
        <v>29</v>
      </c>
      <c r="B38" s="12"/>
      <c r="C38" s="12"/>
      <c r="D38" s="12"/>
      <c r="E38" s="12"/>
      <c r="F38" s="12"/>
    </row>
  </sheetData>
  <mergeCells count="7">
    <mergeCell ref="A2:F2"/>
    <mergeCell ref="B32:F32"/>
    <mergeCell ref="B33:F33"/>
    <mergeCell ref="B34:F34"/>
    <mergeCell ref="B35:F35"/>
    <mergeCell ref="B36:F36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6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60"/>
    <col collapsed="false" customWidth="true" hidden="false" outlineLevel="0" max="10" min="10" style="0" width="10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customFormat="false" ht="15" hidden="false" customHeight="false" outlineLevel="0" collapsed="false">
      <c r="A2" s="13" t="n">
        <v>1</v>
      </c>
      <c r="B2" s="14" t="s">
        <v>5</v>
      </c>
      <c r="C2" s="14" t="s">
        <v>41</v>
      </c>
      <c r="D2" s="14" t="s">
        <v>42</v>
      </c>
      <c r="E2" s="14" t="s">
        <v>43</v>
      </c>
      <c r="F2" s="14" t="s">
        <v>44</v>
      </c>
      <c r="G2" s="15" t="s">
        <v>11</v>
      </c>
      <c r="H2" s="14" t="s">
        <v>45</v>
      </c>
      <c r="I2" s="14" t="s">
        <v>46</v>
      </c>
      <c r="J2" s="14" t="s">
        <v>47</v>
      </c>
      <c r="K2" s="14" t="s">
        <v>17</v>
      </c>
    </row>
    <row r="3" customFormat="false" ht="15" hidden="false" customHeight="false" outlineLevel="0" collapsed="false">
      <c r="A3" s="13" t="n">
        <v>2</v>
      </c>
      <c r="B3" s="14" t="s">
        <v>5</v>
      </c>
      <c r="C3" s="14" t="s">
        <v>41</v>
      </c>
      <c r="D3" s="14" t="s">
        <v>42</v>
      </c>
      <c r="E3" s="14" t="s">
        <v>43</v>
      </c>
      <c r="F3" s="14" t="s">
        <v>48</v>
      </c>
      <c r="G3" s="15" t="s">
        <v>11</v>
      </c>
      <c r="H3" s="14" t="s">
        <v>45</v>
      </c>
      <c r="I3" s="14" t="s">
        <v>49</v>
      </c>
      <c r="J3" s="14" t="s">
        <v>47</v>
      </c>
      <c r="K3" s="14" t="s">
        <v>17</v>
      </c>
    </row>
    <row r="4" customFormat="false" ht="15" hidden="false" customHeight="false" outlineLevel="0" collapsed="false">
      <c r="A4" s="13" t="n">
        <v>3</v>
      </c>
      <c r="B4" s="14" t="s">
        <v>5</v>
      </c>
      <c r="C4" s="14" t="s">
        <v>41</v>
      </c>
      <c r="D4" s="14" t="s">
        <v>42</v>
      </c>
      <c r="E4" s="14" t="s">
        <v>43</v>
      </c>
      <c r="F4" s="14" t="s">
        <v>50</v>
      </c>
      <c r="G4" s="15" t="s">
        <v>11</v>
      </c>
      <c r="H4" s="14" t="s">
        <v>45</v>
      </c>
      <c r="I4" s="14" t="s">
        <v>51</v>
      </c>
      <c r="J4" s="14" t="s">
        <v>47</v>
      </c>
      <c r="K4" s="14" t="s">
        <v>17</v>
      </c>
    </row>
    <row r="5" customFormat="false" ht="15" hidden="false" customHeight="false" outlineLevel="0" collapsed="false">
      <c r="A5" s="13" t="n">
        <v>4</v>
      </c>
      <c r="B5" s="14" t="s">
        <v>5</v>
      </c>
      <c r="C5" s="14" t="s">
        <v>41</v>
      </c>
      <c r="D5" s="14" t="s">
        <v>42</v>
      </c>
      <c r="E5" s="14" t="s">
        <v>43</v>
      </c>
      <c r="F5" s="14" t="s">
        <v>52</v>
      </c>
      <c r="G5" s="16" t="s">
        <v>15</v>
      </c>
      <c r="H5" s="14" t="s">
        <v>53</v>
      </c>
      <c r="I5" s="14" t="s">
        <v>54</v>
      </c>
      <c r="J5" s="14" t="s">
        <v>55</v>
      </c>
      <c r="K5" s="14" t="s">
        <v>17</v>
      </c>
    </row>
    <row r="6" customFormat="false" ht="15" hidden="false" customHeight="false" outlineLevel="0" collapsed="false">
      <c r="A6" s="13" t="n">
        <v>5</v>
      </c>
      <c r="B6" s="14" t="s">
        <v>5</v>
      </c>
      <c r="C6" s="14" t="s">
        <v>56</v>
      </c>
      <c r="D6" s="14" t="s">
        <v>42</v>
      </c>
      <c r="E6" s="14" t="s">
        <v>56</v>
      </c>
      <c r="F6" s="14" t="s">
        <v>57</v>
      </c>
      <c r="G6" s="15" t="s">
        <v>11</v>
      </c>
      <c r="H6" s="14" t="s">
        <v>58</v>
      </c>
      <c r="I6" s="14" t="s">
        <v>59</v>
      </c>
      <c r="J6" s="14" t="s">
        <v>47</v>
      </c>
      <c r="K6" s="14" t="s">
        <v>17</v>
      </c>
    </row>
    <row r="7" customFormat="false" ht="15" hidden="false" customHeight="false" outlineLevel="0" collapsed="false">
      <c r="A7" s="13" t="n">
        <v>6</v>
      </c>
      <c r="B7" s="14" t="s">
        <v>5</v>
      </c>
      <c r="C7" s="14" t="s">
        <v>56</v>
      </c>
      <c r="D7" s="14" t="s">
        <v>42</v>
      </c>
      <c r="E7" s="14" t="s">
        <v>56</v>
      </c>
      <c r="F7" s="14" t="s">
        <v>60</v>
      </c>
      <c r="G7" s="15" t="s">
        <v>11</v>
      </c>
      <c r="H7" s="14" t="s">
        <v>61</v>
      </c>
      <c r="I7" s="14" t="s">
        <v>62</v>
      </c>
      <c r="J7" s="14" t="s">
        <v>63</v>
      </c>
      <c r="K7" s="14" t="s">
        <v>17</v>
      </c>
    </row>
    <row r="8" customFormat="false" ht="15" hidden="false" customHeight="false" outlineLevel="0" collapsed="false">
      <c r="A8" s="13" t="n">
        <v>7</v>
      </c>
      <c r="B8" s="14" t="s">
        <v>5</v>
      </c>
      <c r="C8" s="14" t="s">
        <v>56</v>
      </c>
      <c r="D8" s="14" t="s">
        <v>42</v>
      </c>
      <c r="E8" s="14" t="s">
        <v>56</v>
      </c>
      <c r="F8" s="14" t="s">
        <v>64</v>
      </c>
      <c r="G8" s="15" t="s">
        <v>11</v>
      </c>
      <c r="H8" s="14" t="s">
        <v>65</v>
      </c>
      <c r="I8" s="14" t="s">
        <v>66</v>
      </c>
      <c r="J8" s="14" t="s">
        <v>55</v>
      </c>
      <c r="K8" s="14" t="s">
        <v>17</v>
      </c>
    </row>
    <row r="9" customFormat="false" ht="15" hidden="false" customHeight="false" outlineLevel="0" collapsed="false">
      <c r="A9" s="13" t="n">
        <v>8</v>
      </c>
      <c r="B9" s="14" t="s">
        <v>5</v>
      </c>
      <c r="C9" s="14" t="s">
        <v>67</v>
      </c>
      <c r="D9" s="14" t="s">
        <v>42</v>
      </c>
      <c r="E9" s="14" t="s">
        <v>67</v>
      </c>
      <c r="F9" s="14" t="s">
        <v>68</v>
      </c>
      <c r="G9" s="15" t="s">
        <v>11</v>
      </c>
      <c r="H9" s="14" t="s">
        <v>61</v>
      </c>
      <c r="I9" s="14" t="s">
        <v>69</v>
      </c>
      <c r="J9" s="14" t="s">
        <v>55</v>
      </c>
      <c r="K9" s="14" t="s">
        <v>17</v>
      </c>
    </row>
    <row r="10" customFormat="false" ht="15" hidden="false" customHeight="false" outlineLevel="0" collapsed="false">
      <c r="A10" s="13" t="n">
        <v>9</v>
      </c>
      <c r="B10" s="14" t="s">
        <v>5</v>
      </c>
      <c r="C10" s="14" t="s">
        <v>67</v>
      </c>
      <c r="D10" s="14" t="s">
        <v>42</v>
      </c>
      <c r="E10" s="14" t="s">
        <v>67</v>
      </c>
      <c r="F10" s="14" t="s">
        <v>70</v>
      </c>
      <c r="G10" s="15" t="s">
        <v>11</v>
      </c>
      <c r="H10" s="14" t="s">
        <v>71</v>
      </c>
      <c r="I10" s="14" t="s">
        <v>72</v>
      </c>
      <c r="J10" s="14" t="s">
        <v>55</v>
      </c>
      <c r="K10" s="14" t="s">
        <v>17</v>
      </c>
    </row>
    <row r="11" customFormat="false" ht="15" hidden="false" customHeight="false" outlineLevel="0" collapsed="false">
      <c r="A11" s="13" t="n">
        <v>10</v>
      </c>
      <c r="B11" s="14" t="s">
        <v>5</v>
      </c>
      <c r="C11" s="14" t="s">
        <v>73</v>
      </c>
      <c r="D11" s="14" t="s">
        <v>42</v>
      </c>
      <c r="E11" s="14" t="s">
        <v>73</v>
      </c>
      <c r="F11" s="14" t="s">
        <v>74</v>
      </c>
      <c r="G11" s="15" t="s">
        <v>11</v>
      </c>
      <c r="H11" s="14" t="s">
        <v>61</v>
      </c>
      <c r="I11" s="14" t="s">
        <v>75</v>
      </c>
      <c r="J11" s="14" t="s">
        <v>47</v>
      </c>
      <c r="K11" s="14" t="s">
        <v>17</v>
      </c>
    </row>
    <row r="12" customFormat="false" ht="15" hidden="false" customHeight="false" outlineLevel="0" collapsed="false">
      <c r="A12" s="13" t="n">
        <v>11</v>
      </c>
      <c r="B12" s="14" t="s">
        <v>5</v>
      </c>
      <c r="C12" s="14" t="s">
        <v>73</v>
      </c>
      <c r="D12" s="14" t="s">
        <v>42</v>
      </c>
      <c r="E12" s="14" t="s">
        <v>73</v>
      </c>
      <c r="F12" s="14" t="s">
        <v>76</v>
      </c>
      <c r="G12" s="15" t="s">
        <v>11</v>
      </c>
      <c r="H12" s="14" t="s">
        <v>61</v>
      </c>
      <c r="I12" s="14" t="s">
        <v>77</v>
      </c>
      <c r="J12" s="14" t="s">
        <v>55</v>
      </c>
      <c r="K12" s="14" t="s">
        <v>17</v>
      </c>
    </row>
    <row r="13" customFormat="false" ht="15" hidden="false" customHeight="false" outlineLevel="0" collapsed="false">
      <c r="A13" s="13" t="n">
        <v>12</v>
      </c>
      <c r="B13" s="14" t="s">
        <v>5</v>
      </c>
      <c r="C13" s="14" t="s">
        <v>73</v>
      </c>
      <c r="D13" s="14" t="s">
        <v>42</v>
      </c>
      <c r="E13" s="14" t="s">
        <v>73</v>
      </c>
      <c r="F13" s="14" t="s">
        <v>78</v>
      </c>
      <c r="G13" s="15" t="s">
        <v>11</v>
      </c>
      <c r="H13" s="14" t="s">
        <v>79</v>
      </c>
      <c r="I13" s="14" t="s">
        <v>80</v>
      </c>
      <c r="J13" s="14" t="s">
        <v>55</v>
      </c>
      <c r="K13" s="14" t="s">
        <v>17</v>
      </c>
    </row>
    <row r="14" customFormat="false" ht="15" hidden="false" customHeight="false" outlineLevel="0" collapsed="false">
      <c r="A14" s="13" t="n">
        <v>13</v>
      </c>
      <c r="B14" s="14" t="s">
        <v>5</v>
      </c>
      <c r="C14" s="14" t="s">
        <v>81</v>
      </c>
      <c r="D14" s="14" t="s">
        <v>82</v>
      </c>
      <c r="E14" s="14" t="s">
        <v>81</v>
      </c>
      <c r="F14" s="14" t="s">
        <v>74</v>
      </c>
      <c r="G14" s="15" t="s">
        <v>11</v>
      </c>
      <c r="H14" s="14" t="s">
        <v>61</v>
      </c>
      <c r="I14" s="14" t="s">
        <v>83</v>
      </c>
      <c r="J14" s="14" t="s">
        <v>47</v>
      </c>
      <c r="K14" s="14" t="s">
        <v>17</v>
      </c>
    </row>
    <row r="15" customFormat="false" ht="15" hidden="false" customHeight="false" outlineLevel="0" collapsed="false">
      <c r="A15" s="13" t="n">
        <v>14</v>
      </c>
      <c r="B15" s="14" t="s">
        <v>5</v>
      </c>
      <c r="C15" s="14" t="s">
        <v>81</v>
      </c>
      <c r="D15" s="14" t="s">
        <v>82</v>
      </c>
      <c r="E15" s="14" t="s">
        <v>81</v>
      </c>
      <c r="F15" s="14" t="s">
        <v>84</v>
      </c>
      <c r="G15" s="17" t="s">
        <v>12</v>
      </c>
      <c r="H15" s="14" t="s">
        <v>85</v>
      </c>
      <c r="I15" s="14" t="s">
        <v>86</v>
      </c>
      <c r="J15" s="14" t="s">
        <v>47</v>
      </c>
      <c r="K15" s="14" t="s">
        <v>17</v>
      </c>
    </row>
    <row r="16" customFormat="false" ht="15" hidden="false" customHeight="false" outlineLevel="0" collapsed="false">
      <c r="A16" s="13" t="n">
        <v>15</v>
      </c>
      <c r="B16" s="14" t="s">
        <v>5</v>
      </c>
      <c r="C16" s="14" t="s">
        <v>81</v>
      </c>
      <c r="D16" s="14" t="s">
        <v>82</v>
      </c>
      <c r="E16" s="14" t="s">
        <v>81</v>
      </c>
      <c r="F16" s="14" t="s">
        <v>87</v>
      </c>
      <c r="G16" s="17" t="s">
        <v>12</v>
      </c>
      <c r="H16" s="14" t="s">
        <v>88</v>
      </c>
      <c r="I16" s="14" t="s">
        <v>89</v>
      </c>
      <c r="J16" s="14" t="s">
        <v>63</v>
      </c>
      <c r="K16" s="14" t="s">
        <v>17</v>
      </c>
    </row>
    <row r="17" customFormat="false" ht="15" hidden="false" customHeight="false" outlineLevel="0" collapsed="false">
      <c r="A17" s="13" t="n">
        <v>16</v>
      </c>
      <c r="B17" s="14" t="s">
        <v>5</v>
      </c>
      <c r="C17" s="14" t="s">
        <v>81</v>
      </c>
      <c r="D17" s="14" t="s">
        <v>82</v>
      </c>
      <c r="E17" s="14" t="s">
        <v>81</v>
      </c>
      <c r="F17" s="14" t="s">
        <v>90</v>
      </c>
      <c r="G17" s="15" t="s">
        <v>11</v>
      </c>
      <c r="H17" s="14" t="s">
        <v>91</v>
      </c>
      <c r="I17" s="14" t="s">
        <v>92</v>
      </c>
      <c r="J17" s="14" t="s">
        <v>55</v>
      </c>
      <c r="K17" s="14" t="s">
        <v>17</v>
      </c>
    </row>
    <row r="18" customFormat="false" ht="15" hidden="false" customHeight="false" outlineLevel="0" collapsed="false">
      <c r="A18" s="13" t="n">
        <v>17</v>
      </c>
      <c r="B18" s="14" t="s">
        <v>5</v>
      </c>
      <c r="C18" s="14" t="s">
        <v>93</v>
      </c>
      <c r="D18" s="14" t="s">
        <v>82</v>
      </c>
      <c r="E18" s="14" t="s">
        <v>93</v>
      </c>
      <c r="F18" s="14" t="s">
        <v>94</v>
      </c>
      <c r="G18" s="17" t="s">
        <v>12</v>
      </c>
      <c r="H18" s="14" t="s">
        <v>95</v>
      </c>
      <c r="I18" s="14" t="s">
        <v>96</v>
      </c>
      <c r="J18" s="14" t="s">
        <v>47</v>
      </c>
      <c r="K18" s="14" t="s">
        <v>17</v>
      </c>
    </row>
    <row r="19" customFormat="false" ht="15" hidden="false" customHeight="false" outlineLevel="0" collapsed="false">
      <c r="A19" s="13" t="n">
        <v>18</v>
      </c>
      <c r="B19" s="14" t="s">
        <v>5</v>
      </c>
      <c r="C19" s="14" t="s">
        <v>93</v>
      </c>
      <c r="D19" s="14" t="s">
        <v>82</v>
      </c>
      <c r="E19" s="14" t="s">
        <v>93</v>
      </c>
      <c r="F19" s="14" t="s">
        <v>97</v>
      </c>
      <c r="G19" s="15" t="s">
        <v>11</v>
      </c>
      <c r="H19" s="14" t="s">
        <v>61</v>
      </c>
      <c r="I19" s="14" t="s">
        <v>98</v>
      </c>
      <c r="J19" s="14" t="s">
        <v>63</v>
      </c>
      <c r="K19" s="14" t="s">
        <v>17</v>
      </c>
    </row>
    <row r="20" customFormat="false" ht="23.85" hidden="false" customHeight="false" outlineLevel="0" collapsed="false">
      <c r="A20" s="13" t="n">
        <v>19</v>
      </c>
      <c r="B20" s="14" t="s">
        <v>5</v>
      </c>
      <c r="C20" s="14" t="s">
        <v>99</v>
      </c>
      <c r="D20" s="14" t="s">
        <v>100</v>
      </c>
      <c r="E20" s="14" t="s">
        <v>101</v>
      </c>
      <c r="F20" s="14" t="s">
        <v>102</v>
      </c>
      <c r="G20" s="15" t="s">
        <v>11</v>
      </c>
      <c r="H20" s="14" t="s">
        <v>71</v>
      </c>
      <c r="I20" s="14" t="s">
        <v>103</v>
      </c>
      <c r="J20" s="14" t="s">
        <v>47</v>
      </c>
      <c r="K20" s="14" t="s">
        <v>17</v>
      </c>
    </row>
    <row r="21" customFormat="false" ht="15" hidden="false" customHeight="false" outlineLevel="0" collapsed="false">
      <c r="A21" s="13" t="n">
        <v>20</v>
      </c>
      <c r="B21" s="14" t="s">
        <v>5</v>
      </c>
      <c r="C21" s="14" t="s">
        <v>99</v>
      </c>
      <c r="D21" s="14" t="s">
        <v>100</v>
      </c>
      <c r="E21" s="14" t="s">
        <v>101</v>
      </c>
      <c r="F21" s="14" t="s">
        <v>104</v>
      </c>
      <c r="G21" s="15" t="s">
        <v>11</v>
      </c>
      <c r="H21" s="14" t="s">
        <v>71</v>
      </c>
      <c r="I21" s="14" t="s">
        <v>105</v>
      </c>
      <c r="J21" s="14" t="s">
        <v>55</v>
      </c>
      <c r="K21" s="14" t="s">
        <v>17</v>
      </c>
    </row>
    <row r="22" customFormat="false" ht="15" hidden="false" customHeight="false" outlineLevel="0" collapsed="false">
      <c r="A22" s="13" t="n">
        <v>21</v>
      </c>
      <c r="B22" s="14" t="s">
        <v>5</v>
      </c>
      <c r="C22" s="14" t="s">
        <v>99</v>
      </c>
      <c r="D22" s="14" t="s">
        <v>100</v>
      </c>
      <c r="E22" s="14" t="s">
        <v>101</v>
      </c>
      <c r="F22" s="14" t="s">
        <v>106</v>
      </c>
      <c r="G22" s="16" t="s">
        <v>15</v>
      </c>
      <c r="H22" s="14" t="s">
        <v>107</v>
      </c>
      <c r="I22" s="14" t="s">
        <v>108</v>
      </c>
      <c r="J22" s="14" t="s">
        <v>63</v>
      </c>
      <c r="K22" s="14" t="s">
        <v>17</v>
      </c>
    </row>
    <row r="23" customFormat="false" ht="15" hidden="false" customHeight="false" outlineLevel="0" collapsed="false">
      <c r="A23" s="13" t="n">
        <v>22</v>
      </c>
      <c r="B23" s="14" t="s">
        <v>5</v>
      </c>
      <c r="C23" s="14" t="s">
        <v>109</v>
      </c>
      <c r="D23" s="14" t="s">
        <v>100</v>
      </c>
      <c r="E23" s="14" t="s">
        <v>109</v>
      </c>
      <c r="F23" s="14" t="s">
        <v>110</v>
      </c>
      <c r="G23" s="16" t="s">
        <v>15</v>
      </c>
      <c r="H23" s="14" t="s">
        <v>111</v>
      </c>
      <c r="I23" s="14" t="s">
        <v>112</v>
      </c>
      <c r="J23" s="14" t="s">
        <v>47</v>
      </c>
      <c r="K23" s="14" t="s">
        <v>17</v>
      </c>
    </row>
    <row r="24" customFormat="false" ht="15" hidden="false" customHeight="false" outlineLevel="0" collapsed="false">
      <c r="A24" s="13" t="n">
        <v>23</v>
      </c>
      <c r="B24" s="14" t="s">
        <v>5</v>
      </c>
      <c r="C24" s="14" t="s">
        <v>113</v>
      </c>
      <c r="D24" s="14" t="s">
        <v>114</v>
      </c>
      <c r="E24" s="14" t="s">
        <v>113</v>
      </c>
      <c r="F24" s="14" t="s">
        <v>115</v>
      </c>
      <c r="G24" s="15" t="s">
        <v>11</v>
      </c>
      <c r="H24" s="14" t="s">
        <v>61</v>
      </c>
      <c r="I24" s="14" t="s">
        <v>116</v>
      </c>
      <c r="J24" s="14" t="s">
        <v>47</v>
      </c>
      <c r="K24" s="14" t="s">
        <v>17</v>
      </c>
    </row>
    <row r="25" customFormat="false" ht="15" hidden="false" customHeight="false" outlineLevel="0" collapsed="false">
      <c r="A25" s="13" t="n">
        <v>24</v>
      </c>
      <c r="B25" s="14" t="s">
        <v>5</v>
      </c>
      <c r="C25" s="14" t="s">
        <v>113</v>
      </c>
      <c r="D25" s="14" t="s">
        <v>114</v>
      </c>
      <c r="E25" s="14" t="s">
        <v>113</v>
      </c>
      <c r="F25" s="14" t="s">
        <v>117</v>
      </c>
      <c r="G25" s="15" t="s">
        <v>11</v>
      </c>
      <c r="H25" s="14" t="s">
        <v>61</v>
      </c>
      <c r="I25" s="14" t="s">
        <v>118</v>
      </c>
      <c r="J25" s="14" t="s">
        <v>47</v>
      </c>
      <c r="K25" s="14" t="s">
        <v>17</v>
      </c>
    </row>
    <row r="26" customFormat="false" ht="15" hidden="false" customHeight="false" outlineLevel="0" collapsed="false">
      <c r="A26" s="13" t="n">
        <v>25</v>
      </c>
      <c r="B26" s="14" t="s">
        <v>5</v>
      </c>
      <c r="C26" s="14" t="s">
        <v>113</v>
      </c>
      <c r="D26" s="14" t="s">
        <v>114</v>
      </c>
      <c r="E26" s="14" t="s">
        <v>113</v>
      </c>
      <c r="F26" s="14" t="s">
        <v>119</v>
      </c>
      <c r="G26" s="15" t="s">
        <v>11</v>
      </c>
      <c r="H26" s="14" t="s">
        <v>71</v>
      </c>
      <c r="I26" s="14" t="s">
        <v>120</v>
      </c>
      <c r="J26" s="14" t="s">
        <v>55</v>
      </c>
      <c r="K26" s="14" t="s">
        <v>17</v>
      </c>
    </row>
    <row r="27" customFormat="false" ht="15" hidden="false" customHeight="false" outlineLevel="0" collapsed="false">
      <c r="A27" s="13" t="n">
        <v>26</v>
      </c>
      <c r="B27" s="14" t="s">
        <v>5</v>
      </c>
      <c r="C27" s="14" t="s">
        <v>113</v>
      </c>
      <c r="D27" s="14" t="s">
        <v>114</v>
      </c>
      <c r="E27" s="14" t="s">
        <v>113</v>
      </c>
      <c r="F27" s="14" t="s">
        <v>121</v>
      </c>
      <c r="G27" s="15" t="s">
        <v>11</v>
      </c>
      <c r="H27" s="14" t="s">
        <v>122</v>
      </c>
      <c r="I27" s="14" t="s">
        <v>123</v>
      </c>
      <c r="J27" s="14" t="s">
        <v>55</v>
      </c>
      <c r="K27" s="14" t="s">
        <v>17</v>
      </c>
    </row>
    <row r="28" customFormat="false" ht="15" hidden="false" customHeight="false" outlineLevel="0" collapsed="false">
      <c r="A28" s="13" t="n">
        <v>27</v>
      </c>
      <c r="B28" s="14" t="s">
        <v>5</v>
      </c>
      <c r="C28" s="14" t="s">
        <v>124</v>
      </c>
      <c r="D28" s="14" t="s">
        <v>125</v>
      </c>
      <c r="E28" s="14" t="s">
        <v>124</v>
      </c>
      <c r="F28" s="14" t="s">
        <v>126</v>
      </c>
      <c r="G28" s="15" t="s">
        <v>11</v>
      </c>
      <c r="H28" s="14" t="s">
        <v>71</v>
      </c>
      <c r="I28" s="14" t="s">
        <v>127</v>
      </c>
      <c r="J28" s="14" t="s">
        <v>47</v>
      </c>
      <c r="K28" s="14" t="s">
        <v>17</v>
      </c>
    </row>
    <row r="29" customFormat="false" ht="15" hidden="false" customHeight="false" outlineLevel="0" collapsed="false">
      <c r="A29" s="13" t="n">
        <v>28</v>
      </c>
      <c r="B29" s="14" t="s">
        <v>5</v>
      </c>
      <c r="C29" s="14" t="s">
        <v>124</v>
      </c>
      <c r="D29" s="14" t="s">
        <v>125</v>
      </c>
      <c r="E29" s="14" t="s">
        <v>124</v>
      </c>
      <c r="F29" s="14" t="s">
        <v>128</v>
      </c>
      <c r="G29" s="15" t="s">
        <v>11</v>
      </c>
      <c r="H29" s="14" t="s">
        <v>71</v>
      </c>
      <c r="I29" s="14" t="s">
        <v>129</v>
      </c>
      <c r="J29" s="14" t="s">
        <v>55</v>
      </c>
      <c r="K29" s="14" t="s">
        <v>17</v>
      </c>
    </row>
    <row r="30" customFormat="false" ht="15" hidden="false" customHeight="false" outlineLevel="0" collapsed="false">
      <c r="A30" s="13" t="n">
        <v>29</v>
      </c>
      <c r="B30" s="14" t="s">
        <v>5</v>
      </c>
      <c r="C30" s="14" t="s">
        <v>124</v>
      </c>
      <c r="D30" s="14" t="s">
        <v>125</v>
      </c>
      <c r="E30" s="14" t="s">
        <v>124</v>
      </c>
      <c r="F30" s="14" t="s">
        <v>130</v>
      </c>
      <c r="G30" s="15" t="s">
        <v>11</v>
      </c>
      <c r="H30" s="14" t="s">
        <v>131</v>
      </c>
      <c r="I30" s="14" t="s">
        <v>132</v>
      </c>
      <c r="J30" s="14" t="s">
        <v>47</v>
      </c>
      <c r="K30" s="14" t="s">
        <v>17</v>
      </c>
    </row>
    <row r="31" customFormat="false" ht="15" hidden="false" customHeight="false" outlineLevel="0" collapsed="false">
      <c r="A31" s="13" t="n">
        <v>30</v>
      </c>
      <c r="B31" s="14" t="s">
        <v>5</v>
      </c>
      <c r="C31" s="14" t="s">
        <v>124</v>
      </c>
      <c r="D31" s="14" t="s">
        <v>125</v>
      </c>
      <c r="E31" s="14" t="s">
        <v>124</v>
      </c>
      <c r="F31" s="14" t="s">
        <v>133</v>
      </c>
      <c r="G31" s="15" t="s">
        <v>11</v>
      </c>
      <c r="H31" s="14" t="s">
        <v>61</v>
      </c>
      <c r="I31" s="14" t="s">
        <v>134</v>
      </c>
      <c r="J31" s="14" t="s">
        <v>55</v>
      </c>
      <c r="K31" s="14" t="s">
        <v>17</v>
      </c>
    </row>
    <row r="32" customFormat="false" ht="15" hidden="false" customHeight="false" outlineLevel="0" collapsed="false">
      <c r="A32" s="13" t="n">
        <v>31</v>
      </c>
      <c r="B32" s="14" t="s">
        <v>5</v>
      </c>
      <c r="C32" s="14" t="s">
        <v>135</v>
      </c>
      <c r="D32" s="14" t="s">
        <v>125</v>
      </c>
      <c r="E32" s="14" t="s">
        <v>136</v>
      </c>
      <c r="F32" s="14" t="s">
        <v>137</v>
      </c>
      <c r="G32" s="17" t="s">
        <v>12</v>
      </c>
      <c r="H32" s="14" t="s">
        <v>95</v>
      </c>
      <c r="I32" s="14" t="s">
        <v>138</v>
      </c>
      <c r="J32" s="14" t="s">
        <v>47</v>
      </c>
      <c r="K32" s="14" t="s">
        <v>17</v>
      </c>
    </row>
    <row r="33" customFormat="false" ht="15" hidden="false" customHeight="false" outlineLevel="0" collapsed="false">
      <c r="A33" s="13" t="n">
        <v>32</v>
      </c>
      <c r="B33" s="14" t="s">
        <v>5</v>
      </c>
      <c r="C33" s="14" t="s">
        <v>139</v>
      </c>
      <c r="D33" s="14" t="s">
        <v>125</v>
      </c>
      <c r="E33" s="14" t="s">
        <v>140</v>
      </c>
      <c r="F33" s="14" t="s">
        <v>141</v>
      </c>
      <c r="G33" s="15" t="s">
        <v>11</v>
      </c>
      <c r="H33" s="14" t="s">
        <v>71</v>
      </c>
      <c r="I33" s="14" t="s">
        <v>142</v>
      </c>
      <c r="J33" s="14" t="s">
        <v>47</v>
      </c>
      <c r="K33" s="14" t="s">
        <v>17</v>
      </c>
    </row>
    <row r="34" customFormat="false" ht="15" hidden="false" customHeight="false" outlineLevel="0" collapsed="false">
      <c r="A34" s="13" t="n">
        <v>33</v>
      </c>
      <c r="B34" s="14" t="s">
        <v>5</v>
      </c>
      <c r="C34" s="14" t="s">
        <v>139</v>
      </c>
      <c r="D34" s="14" t="s">
        <v>125</v>
      </c>
      <c r="E34" s="14" t="s">
        <v>140</v>
      </c>
      <c r="F34" s="14" t="s">
        <v>143</v>
      </c>
      <c r="G34" s="15" t="s">
        <v>11</v>
      </c>
      <c r="H34" s="14" t="s">
        <v>71</v>
      </c>
      <c r="I34" s="14" t="s">
        <v>144</v>
      </c>
      <c r="J34" s="14" t="s">
        <v>63</v>
      </c>
      <c r="K34" s="14" t="s">
        <v>17</v>
      </c>
    </row>
    <row r="35" customFormat="false" ht="23.85" hidden="false" customHeight="false" outlineLevel="0" collapsed="false">
      <c r="A35" s="13" t="n">
        <v>34</v>
      </c>
      <c r="B35" s="14" t="s">
        <v>5</v>
      </c>
      <c r="C35" s="14" t="s">
        <v>139</v>
      </c>
      <c r="D35" s="14" t="s">
        <v>125</v>
      </c>
      <c r="E35" s="14" t="s">
        <v>140</v>
      </c>
      <c r="F35" s="14" t="s">
        <v>145</v>
      </c>
      <c r="G35" s="15" t="s">
        <v>11</v>
      </c>
      <c r="H35" s="14" t="s">
        <v>71</v>
      </c>
      <c r="I35" s="14" t="s">
        <v>146</v>
      </c>
      <c r="J35" s="14" t="s">
        <v>63</v>
      </c>
      <c r="K35" s="14" t="s">
        <v>17</v>
      </c>
    </row>
    <row r="36" customFormat="false" ht="23.85" hidden="false" customHeight="false" outlineLevel="0" collapsed="false">
      <c r="A36" s="13" t="n">
        <v>35</v>
      </c>
      <c r="B36" s="14" t="s">
        <v>5</v>
      </c>
      <c r="C36" s="14" t="s">
        <v>139</v>
      </c>
      <c r="D36" s="14" t="s">
        <v>125</v>
      </c>
      <c r="E36" s="14" t="s">
        <v>140</v>
      </c>
      <c r="F36" s="14" t="s">
        <v>147</v>
      </c>
      <c r="G36" s="17" t="s">
        <v>12</v>
      </c>
      <c r="H36" s="14" t="s">
        <v>148</v>
      </c>
      <c r="I36" s="14" t="s">
        <v>149</v>
      </c>
      <c r="J36" s="14" t="s">
        <v>55</v>
      </c>
      <c r="K36" s="14" t="s">
        <v>17</v>
      </c>
    </row>
    <row r="37" customFormat="false" ht="15" hidden="false" customHeight="false" outlineLevel="0" collapsed="false">
      <c r="A37" s="13" t="n">
        <v>36</v>
      </c>
      <c r="B37" s="14" t="s">
        <v>5</v>
      </c>
      <c r="C37" s="14" t="s">
        <v>150</v>
      </c>
      <c r="D37" s="14" t="s">
        <v>125</v>
      </c>
      <c r="E37" s="14" t="s">
        <v>150</v>
      </c>
      <c r="F37" s="14" t="s">
        <v>151</v>
      </c>
      <c r="G37" s="15" t="s">
        <v>11</v>
      </c>
      <c r="H37" s="14" t="s">
        <v>152</v>
      </c>
      <c r="I37" s="14" t="s">
        <v>153</v>
      </c>
      <c r="J37" s="14" t="s">
        <v>47</v>
      </c>
      <c r="K37" s="14" t="s">
        <v>17</v>
      </c>
    </row>
    <row r="38" customFormat="false" ht="15" hidden="false" customHeight="false" outlineLevel="0" collapsed="false">
      <c r="A38" s="13" t="n">
        <v>37</v>
      </c>
      <c r="B38" s="14" t="s">
        <v>5</v>
      </c>
      <c r="C38" s="14" t="s">
        <v>150</v>
      </c>
      <c r="D38" s="14" t="s">
        <v>125</v>
      </c>
      <c r="E38" s="14" t="s">
        <v>150</v>
      </c>
      <c r="F38" s="14" t="s">
        <v>154</v>
      </c>
      <c r="G38" s="15" t="s">
        <v>11</v>
      </c>
      <c r="H38" s="14" t="s">
        <v>61</v>
      </c>
      <c r="I38" s="14" t="s">
        <v>155</v>
      </c>
      <c r="J38" s="14" t="s">
        <v>55</v>
      </c>
      <c r="K38" s="14" t="s">
        <v>17</v>
      </c>
    </row>
    <row r="39" customFormat="false" ht="23.85" hidden="false" customHeight="false" outlineLevel="0" collapsed="false">
      <c r="A39" s="13" t="n">
        <v>38</v>
      </c>
      <c r="B39" s="14" t="s">
        <v>5</v>
      </c>
      <c r="C39" s="14" t="s">
        <v>156</v>
      </c>
      <c r="D39" s="14" t="s">
        <v>125</v>
      </c>
      <c r="E39" s="14" t="s">
        <v>156</v>
      </c>
      <c r="F39" s="14" t="s">
        <v>157</v>
      </c>
      <c r="G39" s="15" t="s">
        <v>11</v>
      </c>
      <c r="H39" s="14" t="s">
        <v>158</v>
      </c>
      <c r="I39" s="14" t="s">
        <v>159</v>
      </c>
      <c r="J39" s="14" t="s">
        <v>47</v>
      </c>
      <c r="K39" s="14" t="s">
        <v>17</v>
      </c>
    </row>
    <row r="40" customFormat="false" ht="15" hidden="false" customHeight="false" outlineLevel="0" collapsed="false">
      <c r="A40" s="13" t="n">
        <v>39</v>
      </c>
      <c r="B40" s="14" t="s">
        <v>6</v>
      </c>
      <c r="C40" s="14" t="s">
        <v>160</v>
      </c>
      <c r="D40" s="14" t="s">
        <v>161</v>
      </c>
      <c r="E40" s="14" t="s">
        <v>160</v>
      </c>
      <c r="F40" s="14" t="s">
        <v>162</v>
      </c>
      <c r="G40" s="15" t="s">
        <v>11</v>
      </c>
      <c r="H40" s="14" t="s">
        <v>61</v>
      </c>
      <c r="I40" s="14" t="s">
        <v>163</v>
      </c>
      <c r="J40" s="14" t="s">
        <v>47</v>
      </c>
      <c r="K40" s="14" t="s">
        <v>17</v>
      </c>
    </row>
    <row r="41" customFormat="false" ht="15" hidden="false" customHeight="false" outlineLevel="0" collapsed="false">
      <c r="A41" s="13" t="n">
        <v>40</v>
      </c>
      <c r="B41" s="14" t="s">
        <v>6</v>
      </c>
      <c r="C41" s="14" t="s">
        <v>160</v>
      </c>
      <c r="D41" s="14" t="s">
        <v>161</v>
      </c>
      <c r="E41" s="14" t="s">
        <v>160</v>
      </c>
      <c r="F41" s="14" t="s">
        <v>164</v>
      </c>
      <c r="G41" s="15" t="s">
        <v>11</v>
      </c>
      <c r="H41" s="14" t="s">
        <v>61</v>
      </c>
      <c r="I41" s="14" t="s">
        <v>165</v>
      </c>
      <c r="J41" s="14" t="s">
        <v>47</v>
      </c>
      <c r="K41" s="14" t="s">
        <v>17</v>
      </c>
    </row>
    <row r="42" customFormat="false" ht="15" hidden="false" customHeight="false" outlineLevel="0" collapsed="false">
      <c r="A42" s="13" t="n">
        <v>41</v>
      </c>
      <c r="B42" s="14" t="s">
        <v>6</v>
      </c>
      <c r="C42" s="14" t="s">
        <v>160</v>
      </c>
      <c r="D42" s="14" t="s">
        <v>161</v>
      </c>
      <c r="E42" s="14" t="s">
        <v>166</v>
      </c>
      <c r="F42" s="14" t="s">
        <v>167</v>
      </c>
      <c r="G42" s="15" t="s">
        <v>11</v>
      </c>
      <c r="H42" s="14" t="s">
        <v>61</v>
      </c>
      <c r="I42" s="14" t="s">
        <v>168</v>
      </c>
      <c r="J42" s="14" t="s">
        <v>47</v>
      </c>
      <c r="K42" s="14" t="s">
        <v>17</v>
      </c>
    </row>
    <row r="43" customFormat="false" ht="15" hidden="false" customHeight="false" outlineLevel="0" collapsed="false">
      <c r="A43" s="13" t="n">
        <v>42</v>
      </c>
      <c r="B43" s="14" t="s">
        <v>6</v>
      </c>
      <c r="C43" s="14" t="s">
        <v>169</v>
      </c>
      <c r="D43" s="14" t="s">
        <v>161</v>
      </c>
      <c r="E43" s="14" t="s">
        <v>170</v>
      </c>
      <c r="F43" s="14" t="s">
        <v>171</v>
      </c>
      <c r="G43" s="15" t="s">
        <v>11</v>
      </c>
      <c r="H43" s="14" t="s">
        <v>61</v>
      </c>
      <c r="I43" s="14" t="s">
        <v>172</v>
      </c>
      <c r="J43" s="14" t="s">
        <v>47</v>
      </c>
      <c r="K43" s="14" t="s">
        <v>17</v>
      </c>
    </row>
    <row r="44" customFormat="false" ht="15" hidden="false" customHeight="false" outlineLevel="0" collapsed="false">
      <c r="A44" s="13" t="n">
        <v>43</v>
      </c>
      <c r="B44" s="14" t="s">
        <v>6</v>
      </c>
      <c r="C44" s="14" t="s">
        <v>169</v>
      </c>
      <c r="D44" s="14" t="s">
        <v>161</v>
      </c>
      <c r="E44" s="14" t="s">
        <v>170</v>
      </c>
      <c r="F44" s="14" t="s">
        <v>173</v>
      </c>
      <c r="G44" s="15" t="s">
        <v>11</v>
      </c>
      <c r="H44" s="14" t="s">
        <v>71</v>
      </c>
      <c r="I44" s="14" t="s">
        <v>174</v>
      </c>
      <c r="J44" s="14" t="s">
        <v>63</v>
      </c>
      <c r="K44" s="14" t="s">
        <v>17</v>
      </c>
    </row>
    <row r="45" customFormat="false" ht="15" hidden="false" customHeight="false" outlineLevel="0" collapsed="false">
      <c r="A45" s="13" t="n">
        <v>44</v>
      </c>
      <c r="B45" s="14" t="s">
        <v>6</v>
      </c>
      <c r="C45" s="14" t="s">
        <v>169</v>
      </c>
      <c r="D45" s="14" t="s">
        <v>161</v>
      </c>
      <c r="E45" s="14" t="s">
        <v>170</v>
      </c>
      <c r="F45" s="14" t="s">
        <v>175</v>
      </c>
      <c r="G45" s="16" t="s">
        <v>15</v>
      </c>
      <c r="H45" s="14" t="s">
        <v>176</v>
      </c>
      <c r="I45" s="14" t="s">
        <v>177</v>
      </c>
      <c r="J45" s="14" t="s">
        <v>63</v>
      </c>
      <c r="K45" s="14" t="s">
        <v>17</v>
      </c>
    </row>
    <row r="46" customFormat="false" ht="15" hidden="false" customHeight="false" outlineLevel="0" collapsed="false">
      <c r="A46" s="13" t="n">
        <v>45</v>
      </c>
      <c r="B46" s="14" t="s">
        <v>6</v>
      </c>
      <c r="C46" s="14" t="s">
        <v>169</v>
      </c>
      <c r="D46" s="14" t="s">
        <v>161</v>
      </c>
      <c r="E46" s="14" t="s">
        <v>170</v>
      </c>
      <c r="F46" s="14" t="s">
        <v>178</v>
      </c>
      <c r="G46" s="15" t="s">
        <v>11</v>
      </c>
      <c r="H46" s="14" t="s">
        <v>61</v>
      </c>
      <c r="I46" s="14" t="s">
        <v>179</v>
      </c>
      <c r="J46" s="14" t="s">
        <v>63</v>
      </c>
      <c r="K46" s="14" t="s">
        <v>17</v>
      </c>
    </row>
    <row r="47" customFormat="false" ht="15" hidden="false" customHeight="false" outlineLevel="0" collapsed="false">
      <c r="A47" s="13" t="n">
        <v>46</v>
      </c>
      <c r="B47" s="14" t="s">
        <v>6</v>
      </c>
      <c r="C47" s="14" t="s">
        <v>180</v>
      </c>
      <c r="D47" s="14" t="s">
        <v>181</v>
      </c>
      <c r="E47" s="14" t="s">
        <v>182</v>
      </c>
      <c r="F47" s="14" t="s">
        <v>183</v>
      </c>
      <c r="G47" s="15" t="s">
        <v>11</v>
      </c>
      <c r="H47" s="14" t="s">
        <v>61</v>
      </c>
      <c r="I47" s="14" t="s">
        <v>184</v>
      </c>
      <c r="J47" s="14" t="s">
        <v>47</v>
      </c>
      <c r="K47" s="14" t="s">
        <v>17</v>
      </c>
    </row>
    <row r="48" customFormat="false" ht="15" hidden="false" customHeight="false" outlineLevel="0" collapsed="false">
      <c r="A48" s="13" t="n">
        <v>47</v>
      </c>
      <c r="B48" s="14" t="s">
        <v>6</v>
      </c>
      <c r="C48" s="14" t="s">
        <v>180</v>
      </c>
      <c r="D48" s="14" t="s">
        <v>181</v>
      </c>
      <c r="E48" s="14" t="s">
        <v>182</v>
      </c>
      <c r="F48" s="14" t="s">
        <v>185</v>
      </c>
      <c r="G48" s="15" t="s">
        <v>11</v>
      </c>
      <c r="H48" s="14" t="s">
        <v>61</v>
      </c>
      <c r="I48" s="14" t="s">
        <v>186</v>
      </c>
      <c r="J48" s="14" t="s">
        <v>63</v>
      </c>
      <c r="K48" s="14" t="s">
        <v>17</v>
      </c>
    </row>
    <row r="49" customFormat="false" ht="15" hidden="false" customHeight="false" outlineLevel="0" collapsed="false">
      <c r="A49" s="13" t="n">
        <v>48</v>
      </c>
      <c r="B49" s="14" t="s">
        <v>6</v>
      </c>
      <c r="C49" s="14" t="s">
        <v>180</v>
      </c>
      <c r="D49" s="14" t="s">
        <v>181</v>
      </c>
      <c r="E49" s="14" t="s">
        <v>187</v>
      </c>
      <c r="F49" s="14" t="s">
        <v>102</v>
      </c>
      <c r="G49" s="15" t="s">
        <v>11</v>
      </c>
      <c r="H49" s="14" t="s">
        <v>71</v>
      </c>
      <c r="I49" s="14" t="s">
        <v>188</v>
      </c>
      <c r="J49" s="14" t="s">
        <v>47</v>
      </c>
      <c r="K49" s="14" t="s">
        <v>17</v>
      </c>
    </row>
    <row r="50" customFormat="false" ht="23.85" hidden="false" customHeight="false" outlineLevel="0" collapsed="false">
      <c r="A50" s="13" t="n">
        <v>49</v>
      </c>
      <c r="B50" s="14" t="s">
        <v>6</v>
      </c>
      <c r="C50" s="14" t="s">
        <v>180</v>
      </c>
      <c r="D50" s="14" t="s">
        <v>181</v>
      </c>
      <c r="E50" s="14" t="s">
        <v>189</v>
      </c>
      <c r="F50" s="14" t="s">
        <v>190</v>
      </c>
      <c r="G50" s="16" t="s">
        <v>15</v>
      </c>
      <c r="H50" s="14" t="s">
        <v>191</v>
      </c>
      <c r="I50" s="14" t="s">
        <v>192</v>
      </c>
      <c r="J50" s="14" t="s">
        <v>55</v>
      </c>
      <c r="K50" s="14" t="s">
        <v>17</v>
      </c>
    </row>
    <row r="51" customFormat="false" ht="15" hidden="false" customHeight="false" outlineLevel="0" collapsed="false">
      <c r="A51" s="13" t="n">
        <v>50</v>
      </c>
      <c r="B51" s="14" t="s">
        <v>6</v>
      </c>
      <c r="C51" s="14" t="s">
        <v>180</v>
      </c>
      <c r="D51" s="14" t="s">
        <v>181</v>
      </c>
      <c r="E51" s="14" t="s">
        <v>193</v>
      </c>
      <c r="F51" s="14" t="s">
        <v>194</v>
      </c>
      <c r="G51" s="15" t="s">
        <v>11</v>
      </c>
      <c r="H51" s="14" t="s">
        <v>61</v>
      </c>
      <c r="I51" s="14" t="s">
        <v>195</v>
      </c>
      <c r="J51" s="14" t="s">
        <v>55</v>
      </c>
      <c r="K51" s="14" t="s">
        <v>17</v>
      </c>
    </row>
    <row r="52" customFormat="false" ht="15" hidden="false" customHeight="false" outlineLevel="0" collapsed="false">
      <c r="A52" s="13" t="n">
        <v>51</v>
      </c>
      <c r="B52" s="14" t="s">
        <v>6</v>
      </c>
      <c r="C52" s="14" t="s">
        <v>180</v>
      </c>
      <c r="D52" s="14" t="s">
        <v>181</v>
      </c>
      <c r="E52" s="14" t="s">
        <v>193</v>
      </c>
      <c r="F52" s="14" t="s">
        <v>196</v>
      </c>
      <c r="G52" s="15" t="s">
        <v>11</v>
      </c>
      <c r="H52" s="14" t="s">
        <v>71</v>
      </c>
      <c r="I52" s="14" t="s">
        <v>197</v>
      </c>
      <c r="J52" s="14" t="s">
        <v>63</v>
      </c>
      <c r="K52" s="14" t="s">
        <v>17</v>
      </c>
    </row>
    <row r="53" customFormat="false" ht="15" hidden="false" customHeight="false" outlineLevel="0" collapsed="false">
      <c r="A53" s="13" t="n">
        <v>52</v>
      </c>
      <c r="B53" s="14" t="s">
        <v>6</v>
      </c>
      <c r="C53" s="14" t="s">
        <v>180</v>
      </c>
      <c r="D53" s="14" t="s">
        <v>181</v>
      </c>
      <c r="E53" s="14" t="s">
        <v>193</v>
      </c>
      <c r="F53" s="14" t="s">
        <v>198</v>
      </c>
      <c r="G53" s="15" t="s">
        <v>11</v>
      </c>
      <c r="H53" s="14" t="s">
        <v>71</v>
      </c>
      <c r="I53" s="14" t="s">
        <v>199</v>
      </c>
      <c r="J53" s="14" t="s">
        <v>63</v>
      </c>
      <c r="K53" s="14" t="s">
        <v>17</v>
      </c>
    </row>
    <row r="54" customFormat="false" ht="15" hidden="false" customHeight="false" outlineLevel="0" collapsed="false">
      <c r="A54" s="13" t="n">
        <v>53</v>
      </c>
      <c r="B54" s="14" t="s">
        <v>6</v>
      </c>
      <c r="C54" s="14" t="s">
        <v>180</v>
      </c>
      <c r="D54" s="14" t="s">
        <v>181</v>
      </c>
      <c r="E54" s="14" t="s">
        <v>200</v>
      </c>
      <c r="F54" s="14" t="s">
        <v>201</v>
      </c>
      <c r="G54" s="15" t="s">
        <v>11</v>
      </c>
      <c r="H54" s="14" t="s">
        <v>61</v>
      </c>
      <c r="I54" s="14" t="s">
        <v>202</v>
      </c>
      <c r="J54" s="14" t="s">
        <v>55</v>
      </c>
      <c r="K54" s="14" t="s">
        <v>17</v>
      </c>
    </row>
    <row r="55" customFormat="false" ht="23.85" hidden="false" customHeight="false" outlineLevel="0" collapsed="false">
      <c r="A55" s="13" t="n">
        <v>54</v>
      </c>
      <c r="B55" s="14" t="s">
        <v>6</v>
      </c>
      <c r="C55" s="14" t="s">
        <v>203</v>
      </c>
      <c r="D55" s="14" t="s">
        <v>204</v>
      </c>
      <c r="E55" s="14" t="s">
        <v>205</v>
      </c>
      <c r="F55" s="14" t="s">
        <v>206</v>
      </c>
      <c r="G55" s="17" t="s">
        <v>12</v>
      </c>
      <c r="H55" s="14" t="s">
        <v>207</v>
      </c>
      <c r="I55" s="14" t="s">
        <v>208</v>
      </c>
      <c r="J55" s="14" t="s">
        <v>47</v>
      </c>
      <c r="K55" s="14" t="s">
        <v>17</v>
      </c>
    </row>
    <row r="56" customFormat="false" ht="23.85" hidden="false" customHeight="false" outlineLevel="0" collapsed="false">
      <c r="A56" s="13" t="n">
        <v>55</v>
      </c>
      <c r="B56" s="14" t="s">
        <v>6</v>
      </c>
      <c r="C56" s="14" t="s">
        <v>203</v>
      </c>
      <c r="D56" s="14" t="s">
        <v>204</v>
      </c>
      <c r="E56" s="14" t="s">
        <v>205</v>
      </c>
      <c r="F56" s="14" t="s">
        <v>209</v>
      </c>
      <c r="G56" s="15" t="s">
        <v>11</v>
      </c>
      <c r="H56" s="14" t="s">
        <v>71</v>
      </c>
      <c r="I56" s="14" t="s">
        <v>210</v>
      </c>
      <c r="J56" s="14" t="s">
        <v>55</v>
      </c>
      <c r="K56" s="14" t="s">
        <v>17</v>
      </c>
    </row>
    <row r="57" customFormat="false" ht="15" hidden="false" customHeight="false" outlineLevel="0" collapsed="false">
      <c r="A57" s="13" t="n">
        <v>56</v>
      </c>
      <c r="B57" s="14" t="s">
        <v>6</v>
      </c>
      <c r="C57" s="14" t="s">
        <v>211</v>
      </c>
      <c r="D57" s="14" t="s">
        <v>212</v>
      </c>
      <c r="E57" s="14" t="s">
        <v>205</v>
      </c>
      <c r="F57" s="14" t="s">
        <v>213</v>
      </c>
      <c r="G57" s="15" t="s">
        <v>11</v>
      </c>
      <c r="H57" s="14" t="s">
        <v>71</v>
      </c>
      <c r="I57" s="14" t="s">
        <v>214</v>
      </c>
      <c r="J57" s="14" t="s">
        <v>47</v>
      </c>
      <c r="K57" s="14" t="s">
        <v>17</v>
      </c>
    </row>
    <row r="58" customFormat="false" ht="15" hidden="false" customHeight="false" outlineLevel="0" collapsed="false">
      <c r="A58" s="13" t="n">
        <v>57</v>
      </c>
      <c r="B58" s="14" t="s">
        <v>6</v>
      </c>
      <c r="C58" s="14" t="s">
        <v>215</v>
      </c>
      <c r="D58" s="14" t="s">
        <v>212</v>
      </c>
      <c r="E58" s="14" t="s">
        <v>205</v>
      </c>
      <c r="F58" s="14" t="s">
        <v>216</v>
      </c>
      <c r="G58" s="15" t="s">
        <v>11</v>
      </c>
      <c r="H58" s="14" t="s">
        <v>71</v>
      </c>
      <c r="I58" s="14" t="s">
        <v>217</v>
      </c>
      <c r="J58" s="14" t="s">
        <v>47</v>
      </c>
      <c r="K58" s="14" t="s">
        <v>17</v>
      </c>
    </row>
    <row r="59" customFormat="false" ht="23.85" hidden="false" customHeight="false" outlineLevel="0" collapsed="false">
      <c r="A59" s="13" t="n">
        <v>58</v>
      </c>
      <c r="B59" s="14" t="s">
        <v>6</v>
      </c>
      <c r="C59" s="14" t="s">
        <v>218</v>
      </c>
      <c r="D59" s="14" t="s">
        <v>212</v>
      </c>
      <c r="E59" s="14" t="s">
        <v>205</v>
      </c>
      <c r="F59" s="14" t="s">
        <v>219</v>
      </c>
      <c r="G59" s="15" t="s">
        <v>11</v>
      </c>
      <c r="H59" s="14" t="s">
        <v>61</v>
      </c>
      <c r="I59" s="14" t="s">
        <v>220</v>
      </c>
      <c r="J59" s="14" t="s">
        <v>47</v>
      </c>
      <c r="K59" s="14" t="s">
        <v>17</v>
      </c>
    </row>
    <row r="60" customFormat="false" ht="15" hidden="false" customHeight="false" outlineLevel="0" collapsed="false">
      <c r="A60" s="13" t="n">
        <v>59</v>
      </c>
      <c r="B60" s="14" t="s">
        <v>6</v>
      </c>
      <c r="C60" s="14" t="s">
        <v>221</v>
      </c>
      <c r="D60" s="14" t="s">
        <v>212</v>
      </c>
      <c r="E60" s="14" t="s">
        <v>205</v>
      </c>
      <c r="F60" s="14" t="s">
        <v>222</v>
      </c>
      <c r="G60" s="15" t="s">
        <v>11</v>
      </c>
      <c r="H60" s="14" t="s">
        <v>223</v>
      </c>
      <c r="I60" s="14" t="s">
        <v>224</v>
      </c>
      <c r="J60" s="14" t="s">
        <v>47</v>
      </c>
      <c r="K60" s="14" t="s">
        <v>17</v>
      </c>
    </row>
    <row r="61" customFormat="false" ht="15" hidden="false" customHeight="false" outlineLevel="0" collapsed="false">
      <c r="A61" s="13" t="n">
        <v>60</v>
      </c>
      <c r="B61" s="14" t="s">
        <v>6</v>
      </c>
      <c r="C61" s="14" t="s">
        <v>221</v>
      </c>
      <c r="D61" s="14" t="s">
        <v>212</v>
      </c>
      <c r="E61" s="14" t="s">
        <v>205</v>
      </c>
      <c r="F61" s="14" t="s">
        <v>225</v>
      </c>
      <c r="G61" s="15" t="s">
        <v>11</v>
      </c>
      <c r="H61" s="14" t="s">
        <v>61</v>
      </c>
      <c r="I61" s="14" t="s">
        <v>226</v>
      </c>
      <c r="J61" s="14" t="s">
        <v>63</v>
      </c>
      <c r="K61" s="14" t="s">
        <v>17</v>
      </c>
    </row>
    <row r="62" customFormat="false" ht="15" hidden="false" customHeight="false" outlineLevel="0" collapsed="false">
      <c r="A62" s="13" t="n">
        <v>61</v>
      </c>
      <c r="B62" s="14" t="s">
        <v>6</v>
      </c>
      <c r="C62" s="14" t="s">
        <v>221</v>
      </c>
      <c r="D62" s="14" t="s">
        <v>212</v>
      </c>
      <c r="E62" s="14" t="s">
        <v>205</v>
      </c>
      <c r="F62" s="14" t="s">
        <v>227</v>
      </c>
      <c r="G62" s="15" t="s">
        <v>11</v>
      </c>
      <c r="H62" s="14" t="s">
        <v>61</v>
      </c>
      <c r="I62" s="14" t="s">
        <v>228</v>
      </c>
      <c r="J62" s="14" t="s">
        <v>47</v>
      </c>
      <c r="K62" s="14" t="s">
        <v>17</v>
      </c>
    </row>
    <row r="63" customFormat="false" ht="15" hidden="false" customHeight="false" outlineLevel="0" collapsed="false">
      <c r="A63" s="13" t="n">
        <v>62</v>
      </c>
      <c r="B63" s="14" t="s">
        <v>6</v>
      </c>
      <c r="C63" s="14" t="s">
        <v>221</v>
      </c>
      <c r="D63" s="14" t="s">
        <v>212</v>
      </c>
      <c r="E63" s="14" t="s">
        <v>205</v>
      </c>
      <c r="F63" s="14" t="s">
        <v>229</v>
      </c>
      <c r="G63" s="15" t="s">
        <v>11</v>
      </c>
      <c r="H63" s="14" t="s">
        <v>71</v>
      </c>
      <c r="I63" s="14" t="s">
        <v>230</v>
      </c>
      <c r="J63" s="14" t="s">
        <v>55</v>
      </c>
      <c r="K63" s="14" t="s">
        <v>17</v>
      </c>
    </row>
    <row r="64" customFormat="false" ht="23.85" hidden="false" customHeight="false" outlineLevel="0" collapsed="false">
      <c r="A64" s="13" t="n">
        <v>63</v>
      </c>
      <c r="B64" s="14" t="s">
        <v>6</v>
      </c>
      <c r="C64" s="14" t="s">
        <v>231</v>
      </c>
      <c r="D64" s="14" t="s">
        <v>212</v>
      </c>
      <c r="E64" s="14" t="s">
        <v>205</v>
      </c>
      <c r="F64" s="14" t="s">
        <v>232</v>
      </c>
      <c r="G64" s="15" t="s">
        <v>11</v>
      </c>
      <c r="H64" s="14" t="s">
        <v>233</v>
      </c>
      <c r="I64" s="14" t="s">
        <v>234</v>
      </c>
      <c r="J64" s="14" t="s">
        <v>47</v>
      </c>
      <c r="K64" s="14" t="s">
        <v>17</v>
      </c>
    </row>
    <row r="65" customFormat="false" ht="23.85" hidden="false" customHeight="false" outlineLevel="0" collapsed="false">
      <c r="A65" s="13" t="n">
        <v>64</v>
      </c>
      <c r="B65" s="14" t="s">
        <v>6</v>
      </c>
      <c r="C65" s="14" t="s">
        <v>235</v>
      </c>
      <c r="D65" s="14" t="s">
        <v>204</v>
      </c>
      <c r="E65" s="14" t="s">
        <v>205</v>
      </c>
      <c r="F65" s="14" t="s">
        <v>236</v>
      </c>
      <c r="G65" s="17" t="s">
        <v>12</v>
      </c>
      <c r="H65" s="14" t="s">
        <v>237</v>
      </c>
      <c r="I65" s="14" t="s">
        <v>238</v>
      </c>
      <c r="J65" s="14" t="s">
        <v>47</v>
      </c>
      <c r="K65" s="14" t="s">
        <v>17</v>
      </c>
    </row>
    <row r="66" customFormat="false" ht="23.85" hidden="false" customHeight="false" outlineLevel="0" collapsed="false">
      <c r="A66" s="13" t="n">
        <v>65</v>
      </c>
      <c r="B66" s="14" t="s">
        <v>6</v>
      </c>
      <c r="C66" s="14" t="s">
        <v>239</v>
      </c>
      <c r="D66" s="14" t="s">
        <v>204</v>
      </c>
      <c r="E66" s="14" t="s">
        <v>205</v>
      </c>
      <c r="F66" s="14" t="s">
        <v>240</v>
      </c>
      <c r="G66" s="17" t="s">
        <v>12</v>
      </c>
      <c r="H66" s="14" t="s">
        <v>237</v>
      </c>
      <c r="I66" s="14" t="s">
        <v>241</v>
      </c>
      <c r="J66" s="14" t="s">
        <v>47</v>
      </c>
      <c r="K66" s="14" t="s">
        <v>17</v>
      </c>
    </row>
    <row r="67" customFormat="false" ht="15" hidden="false" customHeight="false" outlineLevel="0" collapsed="false">
      <c r="A67" s="13" t="n">
        <v>66</v>
      </c>
      <c r="B67" s="14" t="s">
        <v>6</v>
      </c>
      <c r="C67" s="14" t="s">
        <v>242</v>
      </c>
      <c r="D67" s="14" t="s">
        <v>212</v>
      </c>
      <c r="E67" s="14" t="s">
        <v>205</v>
      </c>
      <c r="F67" s="14" t="s">
        <v>243</v>
      </c>
      <c r="G67" s="15" t="s">
        <v>11</v>
      </c>
      <c r="H67" s="14" t="s">
        <v>61</v>
      </c>
      <c r="I67" s="14" t="s">
        <v>244</v>
      </c>
      <c r="J67" s="14" t="s">
        <v>47</v>
      </c>
      <c r="K67" s="14" t="s">
        <v>17</v>
      </c>
    </row>
    <row r="68" customFormat="false" ht="15" hidden="false" customHeight="false" outlineLevel="0" collapsed="false">
      <c r="A68" s="13" t="n">
        <v>67</v>
      </c>
      <c r="B68" s="14" t="s">
        <v>6</v>
      </c>
      <c r="C68" s="14" t="s">
        <v>242</v>
      </c>
      <c r="D68" s="14" t="s">
        <v>212</v>
      </c>
      <c r="E68" s="14" t="s">
        <v>205</v>
      </c>
      <c r="F68" s="14" t="s">
        <v>245</v>
      </c>
      <c r="G68" s="15" t="s">
        <v>11</v>
      </c>
      <c r="H68" s="14" t="s">
        <v>61</v>
      </c>
      <c r="I68" s="14" t="s">
        <v>246</v>
      </c>
      <c r="J68" s="14" t="s">
        <v>55</v>
      </c>
      <c r="K68" s="14" t="s">
        <v>17</v>
      </c>
    </row>
    <row r="69" customFormat="false" ht="15" hidden="false" customHeight="false" outlineLevel="0" collapsed="false">
      <c r="A69" s="13" t="n">
        <v>68</v>
      </c>
      <c r="B69" s="14" t="s">
        <v>6</v>
      </c>
      <c r="C69" s="14" t="s">
        <v>242</v>
      </c>
      <c r="D69" s="14" t="s">
        <v>212</v>
      </c>
      <c r="E69" s="14" t="s">
        <v>205</v>
      </c>
      <c r="F69" s="14" t="s">
        <v>247</v>
      </c>
      <c r="G69" s="15" t="s">
        <v>11</v>
      </c>
      <c r="H69" s="14" t="s">
        <v>61</v>
      </c>
      <c r="I69" s="14" t="s">
        <v>248</v>
      </c>
      <c r="J69" s="14" t="s">
        <v>63</v>
      </c>
      <c r="K69" s="14" t="s">
        <v>17</v>
      </c>
    </row>
    <row r="70" customFormat="false" ht="15" hidden="false" customHeight="false" outlineLevel="0" collapsed="false">
      <c r="A70" s="13" t="n">
        <v>69</v>
      </c>
      <c r="B70" s="14" t="s">
        <v>6</v>
      </c>
      <c r="C70" s="14" t="s">
        <v>242</v>
      </c>
      <c r="D70" s="14" t="s">
        <v>212</v>
      </c>
      <c r="E70" s="14" t="s">
        <v>205</v>
      </c>
      <c r="F70" s="14" t="s">
        <v>249</v>
      </c>
      <c r="G70" s="15" t="s">
        <v>11</v>
      </c>
      <c r="H70" s="14" t="s">
        <v>250</v>
      </c>
      <c r="I70" s="14" t="s">
        <v>251</v>
      </c>
      <c r="J70" s="14" t="s">
        <v>63</v>
      </c>
      <c r="K70" s="14" t="s">
        <v>17</v>
      </c>
    </row>
    <row r="71" customFormat="false" ht="15" hidden="false" customHeight="false" outlineLevel="0" collapsed="false">
      <c r="A71" s="13" t="n">
        <v>70</v>
      </c>
      <c r="B71" s="14" t="s">
        <v>7</v>
      </c>
      <c r="C71" s="14" t="s">
        <v>252</v>
      </c>
      <c r="D71" s="14" t="s">
        <v>253</v>
      </c>
      <c r="E71" s="14" t="s">
        <v>254</v>
      </c>
      <c r="F71" s="14" t="s">
        <v>141</v>
      </c>
      <c r="G71" s="15" t="s">
        <v>11</v>
      </c>
      <c r="H71" s="14" t="s">
        <v>71</v>
      </c>
      <c r="I71" s="14" t="s">
        <v>255</v>
      </c>
      <c r="J71" s="14" t="s">
        <v>47</v>
      </c>
      <c r="K71" s="14" t="s">
        <v>17</v>
      </c>
    </row>
    <row r="72" customFormat="false" ht="15" hidden="false" customHeight="false" outlineLevel="0" collapsed="false">
      <c r="A72" s="13" t="n">
        <v>71</v>
      </c>
      <c r="B72" s="14" t="s">
        <v>7</v>
      </c>
      <c r="C72" s="14" t="s">
        <v>252</v>
      </c>
      <c r="D72" s="14" t="s">
        <v>253</v>
      </c>
      <c r="E72" s="14" t="s">
        <v>254</v>
      </c>
      <c r="F72" s="14" t="s">
        <v>143</v>
      </c>
      <c r="G72" s="15" t="s">
        <v>11</v>
      </c>
      <c r="H72" s="14" t="s">
        <v>71</v>
      </c>
      <c r="I72" s="14" t="s">
        <v>256</v>
      </c>
      <c r="J72" s="14" t="s">
        <v>63</v>
      </c>
      <c r="K72" s="14" t="s">
        <v>17</v>
      </c>
    </row>
    <row r="73" customFormat="false" ht="15" hidden="false" customHeight="false" outlineLevel="0" collapsed="false">
      <c r="A73" s="13" t="n">
        <v>72</v>
      </c>
      <c r="B73" s="14" t="s">
        <v>7</v>
      </c>
      <c r="C73" s="14" t="s">
        <v>252</v>
      </c>
      <c r="D73" s="14" t="s">
        <v>253</v>
      </c>
      <c r="E73" s="14" t="s">
        <v>254</v>
      </c>
      <c r="F73" s="14" t="s">
        <v>145</v>
      </c>
      <c r="G73" s="15" t="s">
        <v>11</v>
      </c>
      <c r="H73" s="14" t="s">
        <v>71</v>
      </c>
      <c r="I73" s="14" t="s">
        <v>257</v>
      </c>
      <c r="J73" s="14" t="s">
        <v>63</v>
      </c>
      <c r="K73" s="14" t="s">
        <v>17</v>
      </c>
    </row>
    <row r="74" customFormat="false" ht="15" hidden="false" customHeight="false" outlineLevel="0" collapsed="false">
      <c r="A74" s="13" t="n">
        <v>73</v>
      </c>
      <c r="B74" s="14" t="s">
        <v>7</v>
      </c>
      <c r="C74" s="14" t="s">
        <v>252</v>
      </c>
      <c r="D74" s="14" t="s">
        <v>253</v>
      </c>
      <c r="E74" s="14" t="s">
        <v>254</v>
      </c>
      <c r="F74" s="14" t="s">
        <v>258</v>
      </c>
      <c r="G74" s="15" t="s">
        <v>11</v>
      </c>
      <c r="H74" s="14" t="s">
        <v>71</v>
      </c>
      <c r="I74" s="14" t="s">
        <v>259</v>
      </c>
      <c r="J74" s="14" t="s">
        <v>63</v>
      </c>
      <c r="K74" s="14" t="s">
        <v>17</v>
      </c>
    </row>
    <row r="75" customFormat="false" ht="23.85" hidden="false" customHeight="false" outlineLevel="0" collapsed="false">
      <c r="A75" s="13" t="n">
        <v>74</v>
      </c>
      <c r="B75" s="14" t="s">
        <v>7</v>
      </c>
      <c r="C75" s="14" t="s">
        <v>252</v>
      </c>
      <c r="D75" s="14" t="s">
        <v>253</v>
      </c>
      <c r="E75" s="14" t="s">
        <v>254</v>
      </c>
      <c r="F75" s="14" t="s">
        <v>147</v>
      </c>
      <c r="G75" s="17" t="s">
        <v>12</v>
      </c>
      <c r="H75" s="14" t="s">
        <v>148</v>
      </c>
      <c r="I75" s="14"/>
      <c r="J75" s="14" t="s">
        <v>55</v>
      </c>
      <c r="K75" s="14" t="s">
        <v>17</v>
      </c>
    </row>
    <row r="76" customFormat="false" ht="23.85" hidden="false" customHeight="false" outlineLevel="0" collapsed="false">
      <c r="A76" s="13" t="n">
        <v>75</v>
      </c>
      <c r="B76" s="14" t="s">
        <v>7</v>
      </c>
      <c r="C76" s="14" t="s">
        <v>260</v>
      </c>
      <c r="D76" s="14" t="s">
        <v>253</v>
      </c>
      <c r="E76" s="14" t="s">
        <v>261</v>
      </c>
      <c r="F76" s="14" t="s">
        <v>262</v>
      </c>
      <c r="G76" s="15" t="s">
        <v>11</v>
      </c>
      <c r="H76" s="14" t="s">
        <v>61</v>
      </c>
      <c r="I76" s="14" t="s">
        <v>263</v>
      </c>
      <c r="J76" s="14" t="s">
        <v>47</v>
      </c>
      <c r="K76" s="14" t="s">
        <v>17</v>
      </c>
    </row>
    <row r="77" customFormat="false" ht="23.85" hidden="false" customHeight="false" outlineLevel="0" collapsed="false">
      <c r="A77" s="13" t="n">
        <v>76</v>
      </c>
      <c r="B77" s="14" t="s">
        <v>7</v>
      </c>
      <c r="C77" s="14" t="s">
        <v>260</v>
      </c>
      <c r="D77" s="14" t="s">
        <v>253</v>
      </c>
      <c r="E77" s="14" t="s">
        <v>261</v>
      </c>
      <c r="F77" s="14" t="s">
        <v>264</v>
      </c>
      <c r="G77" s="15" t="s">
        <v>11</v>
      </c>
      <c r="H77" s="14" t="s">
        <v>61</v>
      </c>
      <c r="I77" s="14" t="s">
        <v>265</v>
      </c>
      <c r="J77" s="14" t="s">
        <v>55</v>
      </c>
      <c r="K77" s="14" t="s">
        <v>17</v>
      </c>
    </row>
    <row r="78" customFormat="false" ht="23.85" hidden="false" customHeight="false" outlineLevel="0" collapsed="false">
      <c r="A78" s="13" t="n">
        <v>77</v>
      </c>
      <c r="B78" s="14" t="s">
        <v>7</v>
      </c>
      <c r="C78" s="14" t="s">
        <v>260</v>
      </c>
      <c r="D78" s="14" t="s">
        <v>253</v>
      </c>
      <c r="E78" s="14" t="s">
        <v>261</v>
      </c>
      <c r="F78" s="14" t="s">
        <v>266</v>
      </c>
      <c r="G78" s="15" t="s">
        <v>11</v>
      </c>
      <c r="H78" s="14" t="s">
        <v>71</v>
      </c>
      <c r="I78" s="14" t="s">
        <v>267</v>
      </c>
      <c r="J78" s="14" t="s">
        <v>47</v>
      </c>
      <c r="K78" s="14" t="s">
        <v>17</v>
      </c>
    </row>
    <row r="79" customFormat="false" ht="23.85" hidden="false" customHeight="false" outlineLevel="0" collapsed="false">
      <c r="A79" s="13" t="n">
        <v>78</v>
      </c>
      <c r="B79" s="14" t="s">
        <v>7</v>
      </c>
      <c r="C79" s="14" t="s">
        <v>260</v>
      </c>
      <c r="D79" s="14" t="s">
        <v>253</v>
      </c>
      <c r="E79" s="14" t="s">
        <v>261</v>
      </c>
      <c r="F79" s="14" t="s">
        <v>268</v>
      </c>
      <c r="G79" s="15" t="s">
        <v>11</v>
      </c>
      <c r="H79" s="14" t="s">
        <v>71</v>
      </c>
      <c r="I79" s="14" t="s">
        <v>269</v>
      </c>
      <c r="J79" s="14" t="s">
        <v>63</v>
      </c>
      <c r="K79" s="14" t="s">
        <v>17</v>
      </c>
    </row>
    <row r="80" customFormat="false" ht="23.85" hidden="false" customHeight="false" outlineLevel="0" collapsed="false">
      <c r="A80" s="13" t="n">
        <v>79</v>
      </c>
      <c r="B80" s="14" t="s">
        <v>7</v>
      </c>
      <c r="C80" s="14" t="s">
        <v>260</v>
      </c>
      <c r="D80" s="14" t="s">
        <v>253</v>
      </c>
      <c r="E80" s="14" t="s">
        <v>261</v>
      </c>
      <c r="F80" s="14" t="s">
        <v>270</v>
      </c>
      <c r="G80" s="16" t="s">
        <v>15</v>
      </c>
      <c r="H80" s="14" t="s">
        <v>176</v>
      </c>
      <c r="I80" s="14" t="s">
        <v>271</v>
      </c>
      <c r="J80" s="14" t="s">
        <v>63</v>
      </c>
      <c r="K80" s="14" t="s">
        <v>17</v>
      </c>
    </row>
    <row r="81" customFormat="false" ht="15" hidden="false" customHeight="false" outlineLevel="0" collapsed="false">
      <c r="A81" s="13" t="n">
        <v>80</v>
      </c>
      <c r="B81" s="14" t="s">
        <v>7</v>
      </c>
      <c r="C81" s="14" t="s">
        <v>272</v>
      </c>
      <c r="D81" s="14" t="s">
        <v>253</v>
      </c>
      <c r="E81" s="14" t="s">
        <v>273</v>
      </c>
      <c r="F81" s="14" t="s">
        <v>274</v>
      </c>
      <c r="G81" s="15" t="s">
        <v>11</v>
      </c>
      <c r="H81" s="14" t="s">
        <v>71</v>
      </c>
      <c r="I81" s="14" t="s">
        <v>275</v>
      </c>
      <c r="J81" s="14" t="s">
        <v>47</v>
      </c>
      <c r="K81" s="14" t="s">
        <v>17</v>
      </c>
    </row>
    <row r="82" customFormat="false" ht="15" hidden="false" customHeight="false" outlineLevel="0" collapsed="false">
      <c r="A82" s="13" t="n">
        <v>81</v>
      </c>
      <c r="B82" s="14" t="s">
        <v>7</v>
      </c>
      <c r="C82" s="14" t="s">
        <v>272</v>
      </c>
      <c r="D82" s="14" t="s">
        <v>253</v>
      </c>
      <c r="E82" s="14" t="s">
        <v>273</v>
      </c>
      <c r="F82" s="14" t="s">
        <v>276</v>
      </c>
      <c r="G82" s="15" t="s">
        <v>11</v>
      </c>
      <c r="H82" s="14" t="s">
        <v>61</v>
      </c>
      <c r="I82" s="14" t="s">
        <v>277</v>
      </c>
      <c r="J82" s="14" t="s">
        <v>55</v>
      </c>
      <c r="K82" s="14" t="s">
        <v>17</v>
      </c>
    </row>
    <row r="83" customFormat="false" ht="15" hidden="false" customHeight="false" outlineLevel="0" collapsed="false">
      <c r="A83" s="13" t="n">
        <v>82</v>
      </c>
      <c r="B83" s="14" t="s">
        <v>7</v>
      </c>
      <c r="C83" s="14" t="s">
        <v>272</v>
      </c>
      <c r="D83" s="14" t="s">
        <v>253</v>
      </c>
      <c r="E83" s="14" t="s">
        <v>273</v>
      </c>
      <c r="F83" s="14" t="s">
        <v>278</v>
      </c>
      <c r="G83" s="15" t="s">
        <v>11</v>
      </c>
      <c r="H83" s="14" t="s">
        <v>61</v>
      </c>
      <c r="I83" s="14" t="s">
        <v>279</v>
      </c>
      <c r="J83" s="14" t="s">
        <v>63</v>
      </c>
      <c r="K83" s="14" t="s">
        <v>17</v>
      </c>
    </row>
    <row r="84" customFormat="false" ht="15" hidden="false" customHeight="false" outlineLevel="0" collapsed="false">
      <c r="A84" s="13" t="n">
        <v>83</v>
      </c>
      <c r="B84" s="14" t="s">
        <v>7</v>
      </c>
      <c r="C84" s="14" t="s">
        <v>272</v>
      </c>
      <c r="D84" s="14" t="s">
        <v>253</v>
      </c>
      <c r="E84" s="14" t="s">
        <v>273</v>
      </c>
      <c r="F84" s="14" t="s">
        <v>280</v>
      </c>
      <c r="G84" s="15" t="s">
        <v>11</v>
      </c>
      <c r="H84" s="14" t="s">
        <v>71</v>
      </c>
      <c r="I84" s="14" t="s">
        <v>281</v>
      </c>
      <c r="J84" s="14" t="s">
        <v>55</v>
      </c>
      <c r="K84" s="14" t="s">
        <v>17</v>
      </c>
    </row>
    <row r="85" customFormat="false" ht="15" hidden="false" customHeight="false" outlineLevel="0" collapsed="false">
      <c r="A85" s="13" t="n">
        <v>84</v>
      </c>
      <c r="B85" s="14" t="s">
        <v>7</v>
      </c>
      <c r="C85" s="14" t="s">
        <v>272</v>
      </c>
      <c r="D85" s="14" t="s">
        <v>253</v>
      </c>
      <c r="E85" s="14" t="s">
        <v>273</v>
      </c>
      <c r="F85" s="14" t="s">
        <v>282</v>
      </c>
      <c r="G85" s="15" t="s">
        <v>11</v>
      </c>
      <c r="H85" s="14" t="s">
        <v>61</v>
      </c>
      <c r="I85" s="14" t="s">
        <v>283</v>
      </c>
      <c r="J85" s="14" t="s">
        <v>63</v>
      </c>
      <c r="K85" s="14" t="s">
        <v>17</v>
      </c>
    </row>
    <row r="86" customFormat="false" ht="15" hidden="false" customHeight="false" outlineLevel="0" collapsed="false">
      <c r="A86" s="13" t="n">
        <v>85</v>
      </c>
      <c r="B86" s="14" t="s">
        <v>7</v>
      </c>
      <c r="C86" s="14" t="s">
        <v>272</v>
      </c>
      <c r="D86" s="14" t="s">
        <v>253</v>
      </c>
      <c r="E86" s="14" t="s">
        <v>273</v>
      </c>
      <c r="F86" s="14" t="s">
        <v>284</v>
      </c>
      <c r="G86" s="15" t="s">
        <v>11</v>
      </c>
      <c r="H86" s="14" t="s">
        <v>71</v>
      </c>
      <c r="I86" s="14" t="s">
        <v>285</v>
      </c>
      <c r="J86" s="14" t="s">
        <v>63</v>
      </c>
      <c r="K86" s="14" t="s">
        <v>17</v>
      </c>
    </row>
    <row r="87" customFormat="false" ht="15" hidden="false" customHeight="false" outlineLevel="0" collapsed="false">
      <c r="A87" s="13" t="n">
        <v>86</v>
      </c>
      <c r="B87" s="14" t="s">
        <v>7</v>
      </c>
      <c r="C87" s="14" t="s">
        <v>272</v>
      </c>
      <c r="D87" s="14" t="s">
        <v>253</v>
      </c>
      <c r="E87" s="14" t="s">
        <v>273</v>
      </c>
      <c r="F87" s="14" t="s">
        <v>286</v>
      </c>
      <c r="G87" s="17" t="s">
        <v>14</v>
      </c>
      <c r="H87" s="14" t="s">
        <v>287</v>
      </c>
      <c r="I87" s="14" t="s">
        <v>288</v>
      </c>
      <c r="J87" s="14" t="s">
        <v>63</v>
      </c>
      <c r="K87" s="14" t="s">
        <v>17</v>
      </c>
    </row>
    <row r="88" customFormat="false" ht="23.85" hidden="false" customHeight="false" outlineLevel="0" collapsed="false">
      <c r="A88" s="13" t="n">
        <v>87</v>
      </c>
      <c r="B88" s="14" t="s">
        <v>7</v>
      </c>
      <c r="C88" s="14" t="s">
        <v>289</v>
      </c>
      <c r="D88" s="14" t="s">
        <v>253</v>
      </c>
      <c r="E88" s="14" t="s">
        <v>290</v>
      </c>
      <c r="F88" s="14" t="s">
        <v>291</v>
      </c>
      <c r="G88" s="15" t="s">
        <v>11</v>
      </c>
      <c r="H88" s="14" t="s">
        <v>292</v>
      </c>
      <c r="I88" s="14" t="s">
        <v>293</v>
      </c>
      <c r="J88" s="14" t="s">
        <v>47</v>
      </c>
      <c r="K88" s="14" t="s">
        <v>17</v>
      </c>
    </row>
    <row r="89" customFormat="false" ht="15" hidden="false" customHeight="false" outlineLevel="0" collapsed="false">
      <c r="A89" s="13" t="n">
        <v>88</v>
      </c>
      <c r="B89" s="14" t="s">
        <v>7</v>
      </c>
      <c r="C89" s="14" t="s">
        <v>289</v>
      </c>
      <c r="D89" s="14" t="s">
        <v>253</v>
      </c>
      <c r="E89" s="14" t="s">
        <v>290</v>
      </c>
      <c r="F89" s="14" t="s">
        <v>294</v>
      </c>
      <c r="G89" s="16" t="s">
        <v>15</v>
      </c>
      <c r="H89" s="14" t="s">
        <v>176</v>
      </c>
      <c r="I89" s="14" t="s">
        <v>295</v>
      </c>
      <c r="J89" s="14" t="s">
        <v>63</v>
      </c>
      <c r="K89" s="14" t="s">
        <v>17</v>
      </c>
    </row>
    <row r="90" customFormat="false" ht="15" hidden="false" customHeight="false" outlineLevel="0" collapsed="false">
      <c r="A90" s="13" t="n">
        <v>89</v>
      </c>
      <c r="B90" s="14" t="s">
        <v>7</v>
      </c>
      <c r="C90" s="14" t="s">
        <v>289</v>
      </c>
      <c r="D90" s="14" t="s">
        <v>253</v>
      </c>
      <c r="E90" s="14" t="s">
        <v>290</v>
      </c>
      <c r="F90" s="14" t="s">
        <v>296</v>
      </c>
      <c r="G90" s="18" t="s">
        <v>13</v>
      </c>
      <c r="H90" s="14" t="s">
        <v>297</v>
      </c>
      <c r="I90" s="14" t="s">
        <v>298</v>
      </c>
      <c r="J90" s="14" t="s">
        <v>63</v>
      </c>
      <c r="K90" s="14" t="s">
        <v>17</v>
      </c>
    </row>
    <row r="91" customFormat="false" ht="15" hidden="false" customHeight="false" outlineLevel="0" collapsed="false">
      <c r="A91" s="13" t="n">
        <v>90</v>
      </c>
      <c r="B91" s="14" t="s">
        <v>7</v>
      </c>
      <c r="C91" s="14" t="s">
        <v>289</v>
      </c>
      <c r="D91" s="14" t="s">
        <v>253</v>
      </c>
      <c r="E91" s="14" t="s">
        <v>290</v>
      </c>
      <c r="F91" s="14" t="s">
        <v>299</v>
      </c>
      <c r="G91" s="15" t="s">
        <v>11</v>
      </c>
      <c r="H91" s="14" t="s">
        <v>61</v>
      </c>
      <c r="I91" s="14" t="s">
        <v>300</v>
      </c>
      <c r="J91" s="14" t="s">
        <v>55</v>
      </c>
      <c r="K91" s="14" t="s">
        <v>17</v>
      </c>
    </row>
    <row r="92" customFormat="false" ht="15" hidden="false" customHeight="false" outlineLevel="0" collapsed="false">
      <c r="A92" s="13" t="n">
        <v>91</v>
      </c>
      <c r="B92" s="14" t="s">
        <v>7</v>
      </c>
      <c r="C92" s="14" t="s">
        <v>289</v>
      </c>
      <c r="D92" s="14" t="s">
        <v>253</v>
      </c>
      <c r="E92" s="14" t="s">
        <v>290</v>
      </c>
      <c r="F92" s="14" t="s">
        <v>301</v>
      </c>
      <c r="G92" s="15" t="s">
        <v>11</v>
      </c>
      <c r="H92" s="14" t="s">
        <v>61</v>
      </c>
      <c r="I92" s="14" t="s">
        <v>302</v>
      </c>
      <c r="J92" s="14" t="s">
        <v>63</v>
      </c>
      <c r="K92" s="14" t="s">
        <v>17</v>
      </c>
    </row>
    <row r="93" customFormat="false" ht="15" hidden="false" customHeight="false" outlineLevel="0" collapsed="false">
      <c r="A93" s="13" t="n">
        <v>92</v>
      </c>
      <c r="B93" s="14" t="s">
        <v>7</v>
      </c>
      <c r="C93" s="14" t="s">
        <v>303</v>
      </c>
      <c r="D93" s="14" t="s">
        <v>253</v>
      </c>
      <c r="E93" s="14" t="s">
        <v>304</v>
      </c>
      <c r="F93" s="14" t="s">
        <v>133</v>
      </c>
      <c r="G93" s="15" t="s">
        <v>11</v>
      </c>
      <c r="H93" s="14" t="s">
        <v>61</v>
      </c>
      <c r="I93" s="14" t="s">
        <v>305</v>
      </c>
      <c r="J93" s="14" t="s">
        <v>55</v>
      </c>
      <c r="K93" s="14" t="s">
        <v>17</v>
      </c>
    </row>
    <row r="94" customFormat="false" ht="15" hidden="false" customHeight="false" outlineLevel="0" collapsed="false">
      <c r="A94" s="13" t="n">
        <v>93</v>
      </c>
      <c r="B94" s="14" t="s">
        <v>7</v>
      </c>
      <c r="C94" s="14" t="s">
        <v>303</v>
      </c>
      <c r="D94" s="14" t="s">
        <v>253</v>
      </c>
      <c r="E94" s="14" t="s">
        <v>304</v>
      </c>
      <c r="F94" s="14" t="s">
        <v>306</v>
      </c>
      <c r="G94" s="15" t="s">
        <v>11</v>
      </c>
      <c r="H94" s="14" t="s">
        <v>45</v>
      </c>
      <c r="I94" s="14" t="s">
        <v>307</v>
      </c>
      <c r="J94" s="14" t="s">
        <v>63</v>
      </c>
      <c r="K94" s="14" t="s">
        <v>17</v>
      </c>
    </row>
    <row r="95" customFormat="false" ht="15" hidden="false" customHeight="false" outlineLevel="0" collapsed="false">
      <c r="A95" s="13" t="n">
        <v>94</v>
      </c>
      <c r="B95" s="14" t="s">
        <v>7</v>
      </c>
      <c r="C95" s="14" t="s">
        <v>303</v>
      </c>
      <c r="D95" s="14" t="s">
        <v>253</v>
      </c>
      <c r="E95" s="14" t="s">
        <v>304</v>
      </c>
      <c r="F95" s="14" t="s">
        <v>308</v>
      </c>
      <c r="G95" s="15" t="s">
        <v>11</v>
      </c>
      <c r="H95" s="14" t="s">
        <v>61</v>
      </c>
      <c r="I95" s="14" t="s">
        <v>309</v>
      </c>
      <c r="J95" s="14" t="s">
        <v>63</v>
      </c>
      <c r="K95" s="14" t="s">
        <v>17</v>
      </c>
    </row>
    <row r="96" customFormat="false" ht="15" hidden="false" customHeight="false" outlineLevel="0" collapsed="false">
      <c r="A96" s="13" t="n">
        <v>95</v>
      </c>
      <c r="B96" s="14" t="s">
        <v>7</v>
      </c>
      <c r="C96" s="14" t="s">
        <v>303</v>
      </c>
      <c r="D96" s="14" t="s">
        <v>253</v>
      </c>
      <c r="E96" s="14" t="s">
        <v>304</v>
      </c>
      <c r="F96" s="14" t="s">
        <v>310</v>
      </c>
      <c r="G96" s="15" t="s">
        <v>11</v>
      </c>
      <c r="H96" s="14" t="s">
        <v>311</v>
      </c>
      <c r="I96" s="14" t="s">
        <v>312</v>
      </c>
      <c r="J96" s="14" t="s">
        <v>55</v>
      </c>
      <c r="K96" s="14" t="s">
        <v>17</v>
      </c>
    </row>
    <row r="97" customFormat="false" ht="15" hidden="false" customHeight="false" outlineLevel="0" collapsed="false">
      <c r="A97" s="13" t="n">
        <v>96</v>
      </c>
      <c r="B97" s="14" t="s">
        <v>7</v>
      </c>
      <c r="C97" s="14" t="s">
        <v>303</v>
      </c>
      <c r="D97" s="14" t="s">
        <v>253</v>
      </c>
      <c r="E97" s="14" t="s">
        <v>304</v>
      </c>
      <c r="F97" s="14" t="s">
        <v>313</v>
      </c>
      <c r="G97" s="15" t="s">
        <v>11</v>
      </c>
      <c r="H97" s="14" t="s">
        <v>61</v>
      </c>
      <c r="I97" s="14" t="s">
        <v>314</v>
      </c>
      <c r="J97" s="14" t="s">
        <v>63</v>
      </c>
      <c r="K97" s="14" t="s">
        <v>17</v>
      </c>
    </row>
    <row r="98" customFormat="false" ht="15" hidden="false" customHeight="false" outlineLevel="0" collapsed="false">
      <c r="A98" s="13" t="n">
        <v>97</v>
      </c>
      <c r="B98" s="14" t="s">
        <v>7</v>
      </c>
      <c r="C98" s="14" t="s">
        <v>303</v>
      </c>
      <c r="D98" s="14" t="s">
        <v>253</v>
      </c>
      <c r="E98" s="14" t="s">
        <v>304</v>
      </c>
      <c r="F98" s="14" t="s">
        <v>315</v>
      </c>
      <c r="G98" s="15" t="s">
        <v>11</v>
      </c>
      <c r="H98" s="14" t="s">
        <v>61</v>
      </c>
      <c r="I98" s="14" t="s">
        <v>316</v>
      </c>
      <c r="J98" s="14" t="s">
        <v>55</v>
      </c>
      <c r="K98" s="14" t="s">
        <v>17</v>
      </c>
    </row>
    <row r="99" customFormat="false" ht="15" hidden="false" customHeight="false" outlineLevel="0" collapsed="false">
      <c r="A99" s="13" t="n">
        <v>98</v>
      </c>
      <c r="B99" s="14" t="s">
        <v>7</v>
      </c>
      <c r="C99" s="14" t="s">
        <v>303</v>
      </c>
      <c r="D99" s="14" t="s">
        <v>253</v>
      </c>
      <c r="E99" s="14" t="s">
        <v>304</v>
      </c>
      <c r="F99" s="14" t="s">
        <v>317</v>
      </c>
      <c r="G99" s="15" t="s">
        <v>11</v>
      </c>
      <c r="H99" s="14" t="s">
        <v>131</v>
      </c>
      <c r="I99" s="14" t="s">
        <v>318</v>
      </c>
      <c r="J99" s="14" t="s">
        <v>55</v>
      </c>
      <c r="K99" s="14" t="s">
        <v>17</v>
      </c>
    </row>
    <row r="100" customFormat="false" ht="15" hidden="false" customHeight="false" outlineLevel="0" collapsed="false">
      <c r="A100" s="13" t="n">
        <v>99</v>
      </c>
      <c r="B100" s="14" t="s">
        <v>7</v>
      </c>
      <c r="C100" s="14" t="s">
        <v>303</v>
      </c>
      <c r="D100" s="14" t="s">
        <v>253</v>
      </c>
      <c r="E100" s="14" t="s">
        <v>304</v>
      </c>
      <c r="F100" s="14" t="s">
        <v>319</v>
      </c>
      <c r="G100" s="16" t="s">
        <v>15</v>
      </c>
      <c r="H100" s="14" t="s">
        <v>320</v>
      </c>
      <c r="I100" s="14" t="s">
        <v>321</v>
      </c>
      <c r="J100" s="14" t="s">
        <v>63</v>
      </c>
      <c r="K100" s="14" t="s">
        <v>17</v>
      </c>
    </row>
    <row r="101" customFormat="false" ht="15" hidden="false" customHeight="false" outlineLevel="0" collapsed="false">
      <c r="A101" s="13" t="n">
        <v>100</v>
      </c>
      <c r="B101" s="14" t="s">
        <v>7</v>
      </c>
      <c r="C101" s="14" t="s">
        <v>322</v>
      </c>
      <c r="D101" s="14" t="s">
        <v>253</v>
      </c>
      <c r="E101" s="14" t="s">
        <v>323</v>
      </c>
      <c r="F101" s="14" t="s">
        <v>324</v>
      </c>
      <c r="G101" s="15" t="s">
        <v>11</v>
      </c>
      <c r="H101" s="14" t="s">
        <v>61</v>
      </c>
      <c r="I101" s="14" t="s">
        <v>325</v>
      </c>
      <c r="J101" s="14" t="s">
        <v>47</v>
      </c>
      <c r="K101" s="14" t="s">
        <v>17</v>
      </c>
    </row>
    <row r="102" customFormat="false" ht="15" hidden="false" customHeight="false" outlineLevel="0" collapsed="false">
      <c r="A102" s="13" t="n">
        <v>101</v>
      </c>
      <c r="B102" s="14" t="s">
        <v>7</v>
      </c>
      <c r="C102" s="14" t="s">
        <v>322</v>
      </c>
      <c r="D102" s="14" t="s">
        <v>253</v>
      </c>
      <c r="E102" s="14" t="s">
        <v>323</v>
      </c>
      <c r="F102" s="14" t="s">
        <v>326</v>
      </c>
      <c r="G102" s="15" t="s">
        <v>11</v>
      </c>
      <c r="H102" s="14" t="s">
        <v>61</v>
      </c>
      <c r="I102" s="14" t="s">
        <v>327</v>
      </c>
      <c r="J102" s="14" t="s">
        <v>63</v>
      </c>
      <c r="K102" s="14" t="s">
        <v>17</v>
      </c>
    </row>
    <row r="103" customFormat="false" ht="15" hidden="false" customHeight="false" outlineLevel="0" collapsed="false">
      <c r="A103" s="13" t="n">
        <v>102</v>
      </c>
      <c r="B103" s="14" t="s">
        <v>7</v>
      </c>
      <c r="C103" s="14" t="s">
        <v>322</v>
      </c>
      <c r="D103" s="14" t="s">
        <v>253</v>
      </c>
      <c r="E103" s="14" t="s">
        <v>323</v>
      </c>
      <c r="F103" s="14" t="s">
        <v>229</v>
      </c>
      <c r="G103" s="15" t="s">
        <v>11</v>
      </c>
      <c r="H103" s="14" t="s">
        <v>71</v>
      </c>
      <c r="I103" s="14" t="s">
        <v>328</v>
      </c>
      <c r="J103" s="14" t="s">
        <v>55</v>
      </c>
      <c r="K103" s="14" t="s">
        <v>17</v>
      </c>
    </row>
    <row r="104" customFormat="false" ht="15" hidden="false" customHeight="false" outlineLevel="0" collapsed="false">
      <c r="A104" s="13" t="n">
        <v>103</v>
      </c>
      <c r="B104" s="14" t="s">
        <v>7</v>
      </c>
      <c r="C104" s="14" t="s">
        <v>322</v>
      </c>
      <c r="D104" s="14" t="s">
        <v>253</v>
      </c>
      <c r="E104" s="14" t="s">
        <v>323</v>
      </c>
      <c r="F104" s="14" t="s">
        <v>329</v>
      </c>
      <c r="G104" s="16" t="s">
        <v>15</v>
      </c>
      <c r="H104" s="14" t="s">
        <v>330</v>
      </c>
      <c r="I104" s="14" t="s">
        <v>331</v>
      </c>
      <c r="J104" s="14" t="s">
        <v>63</v>
      </c>
      <c r="K104" s="14" t="s">
        <v>17</v>
      </c>
    </row>
    <row r="105" customFormat="false" ht="15" hidden="false" customHeight="false" outlineLevel="0" collapsed="false">
      <c r="A105" s="13" t="n">
        <v>104</v>
      </c>
      <c r="B105" s="14" t="s">
        <v>7</v>
      </c>
      <c r="C105" s="14" t="s">
        <v>322</v>
      </c>
      <c r="D105" s="14" t="s">
        <v>253</v>
      </c>
      <c r="E105" s="14" t="s">
        <v>323</v>
      </c>
      <c r="F105" s="14" t="s">
        <v>332</v>
      </c>
      <c r="G105" s="15" t="s">
        <v>11</v>
      </c>
      <c r="H105" s="14" t="s">
        <v>61</v>
      </c>
      <c r="I105" s="14" t="s">
        <v>333</v>
      </c>
      <c r="J105" s="14" t="s">
        <v>55</v>
      </c>
      <c r="K105" s="14" t="s">
        <v>17</v>
      </c>
    </row>
    <row r="106" customFormat="false" ht="15" hidden="false" customHeight="false" outlineLevel="0" collapsed="false">
      <c r="A106" s="13" t="n">
        <v>105</v>
      </c>
      <c r="B106" s="14" t="s">
        <v>7</v>
      </c>
      <c r="C106" s="14" t="s">
        <v>322</v>
      </c>
      <c r="D106" s="14" t="s">
        <v>253</v>
      </c>
      <c r="E106" s="14" t="s">
        <v>323</v>
      </c>
      <c r="F106" s="14" t="s">
        <v>334</v>
      </c>
      <c r="G106" s="15" t="s">
        <v>11</v>
      </c>
      <c r="H106" s="14" t="s">
        <v>71</v>
      </c>
      <c r="I106" s="14" t="s">
        <v>335</v>
      </c>
      <c r="J106" s="14" t="s">
        <v>63</v>
      </c>
      <c r="K106" s="14" t="s">
        <v>17</v>
      </c>
    </row>
    <row r="107" customFormat="false" ht="23.85" hidden="false" customHeight="false" outlineLevel="0" collapsed="false">
      <c r="A107" s="13" t="n">
        <v>106</v>
      </c>
      <c r="B107" s="14" t="s">
        <v>7</v>
      </c>
      <c r="C107" s="14" t="s">
        <v>336</v>
      </c>
      <c r="D107" s="14" t="s">
        <v>337</v>
      </c>
      <c r="E107" s="14" t="s">
        <v>338</v>
      </c>
      <c r="F107" s="14" t="s">
        <v>339</v>
      </c>
      <c r="G107" s="15" t="s">
        <v>11</v>
      </c>
      <c r="H107" s="14" t="s">
        <v>61</v>
      </c>
      <c r="I107" s="14" t="s">
        <v>340</v>
      </c>
      <c r="J107" s="14" t="s">
        <v>47</v>
      </c>
      <c r="K107" s="14" t="s">
        <v>17</v>
      </c>
    </row>
    <row r="108" customFormat="false" ht="15" hidden="false" customHeight="false" outlineLevel="0" collapsed="false">
      <c r="A108" s="13" t="n">
        <v>107</v>
      </c>
      <c r="B108" s="14" t="s">
        <v>7</v>
      </c>
      <c r="C108" s="14" t="s">
        <v>336</v>
      </c>
      <c r="D108" s="14" t="s">
        <v>337</v>
      </c>
      <c r="E108" s="14" t="s">
        <v>338</v>
      </c>
      <c r="F108" s="14" t="s">
        <v>341</v>
      </c>
      <c r="G108" s="15" t="s">
        <v>11</v>
      </c>
      <c r="H108" s="14" t="s">
        <v>61</v>
      </c>
      <c r="I108" s="14" t="s">
        <v>342</v>
      </c>
      <c r="J108" s="14" t="s">
        <v>55</v>
      </c>
      <c r="K108" s="14" t="s">
        <v>17</v>
      </c>
    </row>
    <row r="109" customFormat="false" ht="15" hidden="false" customHeight="false" outlineLevel="0" collapsed="false">
      <c r="A109" s="13" t="n">
        <v>108</v>
      </c>
      <c r="B109" s="14" t="s">
        <v>7</v>
      </c>
      <c r="C109" s="14" t="s">
        <v>336</v>
      </c>
      <c r="D109" s="14" t="s">
        <v>337</v>
      </c>
      <c r="E109" s="14" t="s">
        <v>338</v>
      </c>
      <c r="F109" s="14" t="s">
        <v>343</v>
      </c>
      <c r="G109" s="15" t="s">
        <v>11</v>
      </c>
      <c r="H109" s="14" t="s">
        <v>71</v>
      </c>
      <c r="I109" s="14" t="s">
        <v>344</v>
      </c>
      <c r="J109" s="14" t="s">
        <v>55</v>
      </c>
      <c r="K109" s="14" t="s">
        <v>17</v>
      </c>
    </row>
    <row r="110" customFormat="false" ht="23.85" hidden="false" customHeight="false" outlineLevel="0" collapsed="false">
      <c r="A110" s="13" t="n">
        <v>109</v>
      </c>
      <c r="B110" s="14" t="s">
        <v>7</v>
      </c>
      <c r="C110" s="14" t="s">
        <v>180</v>
      </c>
      <c r="D110" s="14" t="s">
        <v>337</v>
      </c>
      <c r="E110" s="14" t="s">
        <v>180</v>
      </c>
      <c r="F110" s="14" t="s">
        <v>345</v>
      </c>
      <c r="G110" s="15" t="s">
        <v>11</v>
      </c>
      <c r="H110" s="14" t="s">
        <v>61</v>
      </c>
      <c r="I110" s="14" t="s">
        <v>340</v>
      </c>
      <c r="J110" s="14" t="s">
        <v>47</v>
      </c>
      <c r="K110" s="14" t="s">
        <v>17</v>
      </c>
    </row>
    <row r="111" customFormat="false" ht="23.85" hidden="false" customHeight="false" outlineLevel="0" collapsed="false">
      <c r="A111" s="13" t="n">
        <v>110</v>
      </c>
      <c r="B111" s="14" t="s">
        <v>7</v>
      </c>
      <c r="C111" s="14" t="s">
        <v>346</v>
      </c>
      <c r="D111" s="14" t="s">
        <v>337</v>
      </c>
      <c r="E111" s="14" t="s">
        <v>347</v>
      </c>
      <c r="F111" s="14" t="s">
        <v>348</v>
      </c>
      <c r="G111" s="15" t="s">
        <v>11</v>
      </c>
      <c r="H111" s="14" t="s">
        <v>152</v>
      </c>
      <c r="I111" s="14" t="s">
        <v>349</v>
      </c>
      <c r="J111" s="14" t="s">
        <v>47</v>
      </c>
      <c r="K111" s="14" t="s">
        <v>17</v>
      </c>
    </row>
    <row r="112" customFormat="false" ht="15" hidden="false" customHeight="false" outlineLevel="0" collapsed="false">
      <c r="A112" s="13" t="n">
        <v>111</v>
      </c>
      <c r="B112" s="14" t="s">
        <v>7</v>
      </c>
      <c r="C112" s="14" t="s">
        <v>350</v>
      </c>
      <c r="D112" s="14" t="s">
        <v>337</v>
      </c>
      <c r="E112" s="14" t="s">
        <v>351</v>
      </c>
      <c r="F112" s="14" t="s">
        <v>209</v>
      </c>
      <c r="G112" s="15" t="s">
        <v>11</v>
      </c>
      <c r="H112" s="14" t="s">
        <v>71</v>
      </c>
      <c r="I112" s="14" t="s">
        <v>352</v>
      </c>
      <c r="J112" s="14" t="s">
        <v>47</v>
      </c>
      <c r="K112" s="14" t="s">
        <v>17</v>
      </c>
    </row>
    <row r="113" customFormat="false" ht="15" hidden="false" customHeight="false" outlineLevel="0" collapsed="false">
      <c r="A113" s="13" t="n">
        <v>112</v>
      </c>
      <c r="B113" s="14" t="s">
        <v>7</v>
      </c>
      <c r="C113" s="14" t="s">
        <v>350</v>
      </c>
      <c r="D113" s="14" t="s">
        <v>337</v>
      </c>
      <c r="E113" s="14" t="s">
        <v>351</v>
      </c>
      <c r="F113" s="14" t="s">
        <v>353</v>
      </c>
      <c r="G113" s="15" t="s">
        <v>11</v>
      </c>
      <c r="H113" s="14" t="s">
        <v>354</v>
      </c>
      <c r="I113" s="14" t="s">
        <v>355</v>
      </c>
      <c r="J113" s="14" t="s">
        <v>47</v>
      </c>
      <c r="K113" s="14" t="s">
        <v>17</v>
      </c>
    </row>
    <row r="114" customFormat="false" ht="15" hidden="false" customHeight="false" outlineLevel="0" collapsed="false">
      <c r="A114" s="13" t="n">
        <v>113</v>
      </c>
      <c r="B114" s="14" t="s">
        <v>7</v>
      </c>
      <c r="C114" s="14" t="s">
        <v>350</v>
      </c>
      <c r="D114" s="14" t="s">
        <v>337</v>
      </c>
      <c r="E114" s="14" t="s">
        <v>351</v>
      </c>
      <c r="F114" s="14" t="s">
        <v>356</v>
      </c>
      <c r="G114" s="15" t="s">
        <v>11</v>
      </c>
      <c r="H114" s="14" t="s">
        <v>61</v>
      </c>
      <c r="I114" s="14" t="s">
        <v>357</v>
      </c>
      <c r="J114" s="14" t="s">
        <v>47</v>
      </c>
      <c r="K114" s="14" t="s">
        <v>17</v>
      </c>
    </row>
    <row r="115" customFormat="false" ht="15" hidden="false" customHeight="false" outlineLevel="0" collapsed="false">
      <c r="A115" s="13" t="n">
        <v>114</v>
      </c>
      <c r="B115" s="14" t="s">
        <v>7</v>
      </c>
      <c r="C115" s="14" t="s">
        <v>350</v>
      </c>
      <c r="D115" s="14" t="s">
        <v>337</v>
      </c>
      <c r="E115" s="14" t="s">
        <v>351</v>
      </c>
      <c r="F115" s="14" t="s">
        <v>358</v>
      </c>
      <c r="G115" s="18" t="s">
        <v>13</v>
      </c>
      <c r="H115" s="14" t="s">
        <v>359</v>
      </c>
      <c r="I115" s="14" t="s">
        <v>360</v>
      </c>
      <c r="J115" s="14" t="s">
        <v>63</v>
      </c>
      <c r="K115" s="14" t="s">
        <v>17</v>
      </c>
    </row>
    <row r="116" customFormat="false" ht="23.85" hidden="false" customHeight="false" outlineLevel="0" collapsed="false">
      <c r="A116" s="13" t="n">
        <v>115</v>
      </c>
      <c r="B116" s="14" t="s">
        <v>7</v>
      </c>
      <c r="C116" s="14" t="s">
        <v>361</v>
      </c>
      <c r="D116" s="14" t="s">
        <v>362</v>
      </c>
      <c r="E116" s="14" t="s">
        <v>363</v>
      </c>
      <c r="F116" s="14" t="s">
        <v>364</v>
      </c>
      <c r="G116" s="15" t="s">
        <v>11</v>
      </c>
      <c r="H116" s="14" t="s">
        <v>71</v>
      </c>
      <c r="I116" s="14" t="s">
        <v>365</v>
      </c>
      <c r="J116" s="14" t="s">
        <v>63</v>
      </c>
      <c r="K116" s="14" t="s">
        <v>17</v>
      </c>
    </row>
    <row r="117" customFormat="false" ht="23.85" hidden="false" customHeight="false" outlineLevel="0" collapsed="false">
      <c r="A117" s="13" t="n">
        <v>116</v>
      </c>
      <c r="B117" s="14" t="s">
        <v>7</v>
      </c>
      <c r="C117" s="14" t="s">
        <v>361</v>
      </c>
      <c r="D117" s="14" t="s">
        <v>362</v>
      </c>
      <c r="E117" s="14" t="s">
        <v>363</v>
      </c>
      <c r="F117" s="14" t="s">
        <v>366</v>
      </c>
      <c r="G117" s="15" t="s">
        <v>11</v>
      </c>
      <c r="H117" s="14" t="s">
        <v>367</v>
      </c>
      <c r="I117" s="14" t="s">
        <v>368</v>
      </c>
      <c r="J117" s="14" t="s">
        <v>63</v>
      </c>
      <c r="K117" s="14" t="s">
        <v>17</v>
      </c>
    </row>
    <row r="118" customFormat="false" ht="23.85" hidden="false" customHeight="false" outlineLevel="0" collapsed="false">
      <c r="A118" s="13" t="n">
        <v>117</v>
      </c>
      <c r="B118" s="14" t="s">
        <v>7</v>
      </c>
      <c r="C118" s="14" t="s">
        <v>361</v>
      </c>
      <c r="D118" s="14" t="s">
        <v>362</v>
      </c>
      <c r="E118" s="14" t="s">
        <v>363</v>
      </c>
      <c r="F118" s="14" t="s">
        <v>369</v>
      </c>
      <c r="G118" s="15" t="s">
        <v>11</v>
      </c>
      <c r="H118" s="14" t="s">
        <v>370</v>
      </c>
      <c r="I118" s="14" t="s">
        <v>371</v>
      </c>
      <c r="J118" s="14" t="s">
        <v>63</v>
      </c>
      <c r="K118" s="14" t="s">
        <v>17</v>
      </c>
    </row>
    <row r="119" customFormat="false" ht="23.85" hidden="false" customHeight="false" outlineLevel="0" collapsed="false">
      <c r="A119" s="13" t="n">
        <v>118</v>
      </c>
      <c r="B119" s="14" t="s">
        <v>7</v>
      </c>
      <c r="C119" s="14" t="s">
        <v>372</v>
      </c>
      <c r="D119" s="14" t="s">
        <v>362</v>
      </c>
      <c r="E119" s="14" t="s">
        <v>373</v>
      </c>
      <c r="F119" s="14" t="s">
        <v>374</v>
      </c>
      <c r="G119" s="15" t="s">
        <v>11</v>
      </c>
      <c r="H119" s="14" t="s">
        <v>61</v>
      </c>
      <c r="I119" s="14" t="s">
        <v>375</v>
      </c>
      <c r="J119" s="14" t="s">
        <v>63</v>
      </c>
      <c r="K119" s="14" t="s">
        <v>17</v>
      </c>
    </row>
    <row r="120" customFormat="false" ht="23.85" hidden="false" customHeight="false" outlineLevel="0" collapsed="false">
      <c r="A120" s="13" t="n">
        <v>119</v>
      </c>
      <c r="B120" s="14" t="s">
        <v>7</v>
      </c>
      <c r="C120" s="14" t="s">
        <v>372</v>
      </c>
      <c r="D120" s="14" t="s">
        <v>362</v>
      </c>
      <c r="E120" s="14" t="s">
        <v>373</v>
      </c>
      <c r="F120" s="14" t="s">
        <v>376</v>
      </c>
      <c r="G120" s="15" t="s">
        <v>11</v>
      </c>
      <c r="H120" s="14" t="s">
        <v>61</v>
      </c>
      <c r="I120" s="14" t="s">
        <v>377</v>
      </c>
      <c r="J120" s="14" t="s">
        <v>63</v>
      </c>
      <c r="K120" s="14" t="s">
        <v>17</v>
      </c>
    </row>
    <row r="121" customFormat="false" ht="23.85" hidden="false" customHeight="false" outlineLevel="0" collapsed="false">
      <c r="A121" s="13" t="n">
        <v>120</v>
      </c>
      <c r="B121" s="14" t="s">
        <v>7</v>
      </c>
      <c r="C121" s="14" t="s">
        <v>372</v>
      </c>
      <c r="D121" s="14" t="s">
        <v>362</v>
      </c>
      <c r="E121" s="14" t="s">
        <v>373</v>
      </c>
      <c r="F121" s="14" t="s">
        <v>378</v>
      </c>
      <c r="G121" s="17" t="s">
        <v>14</v>
      </c>
      <c r="H121" s="14" t="s">
        <v>379</v>
      </c>
      <c r="I121" s="14" t="s">
        <v>380</v>
      </c>
      <c r="J121" s="14" t="s">
        <v>63</v>
      </c>
      <c r="K121" s="14" t="s">
        <v>17</v>
      </c>
    </row>
    <row r="122" customFormat="false" ht="23.85" hidden="false" customHeight="false" outlineLevel="0" collapsed="false">
      <c r="A122" s="13" t="n">
        <v>121</v>
      </c>
      <c r="B122" s="14" t="s">
        <v>7</v>
      </c>
      <c r="C122" s="14" t="s">
        <v>381</v>
      </c>
      <c r="D122" s="14" t="s">
        <v>362</v>
      </c>
      <c r="E122" s="14" t="s">
        <v>382</v>
      </c>
      <c r="F122" s="14" t="s">
        <v>383</v>
      </c>
      <c r="G122" s="15" t="s">
        <v>11</v>
      </c>
      <c r="H122" s="14" t="s">
        <v>61</v>
      </c>
      <c r="I122" s="14" t="s">
        <v>384</v>
      </c>
      <c r="J122" s="14" t="s">
        <v>63</v>
      </c>
      <c r="K122" s="14" t="s">
        <v>17</v>
      </c>
    </row>
    <row r="123" customFormat="false" ht="23.85" hidden="false" customHeight="false" outlineLevel="0" collapsed="false">
      <c r="A123" s="13" t="n">
        <v>122</v>
      </c>
      <c r="B123" s="14" t="s">
        <v>7</v>
      </c>
      <c r="C123" s="14" t="s">
        <v>381</v>
      </c>
      <c r="D123" s="14" t="s">
        <v>362</v>
      </c>
      <c r="E123" s="14" t="s">
        <v>382</v>
      </c>
      <c r="F123" s="14" t="s">
        <v>104</v>
      </c>
      <c r="G123" s="15" t="s">
        <v>11</v>
      </c>
      <c r="H123" s="14" t="s">
        <v>71</v>
      </c>
      <c r="I123" s="14" t="s">
        <v>385</v>
      </c>
      <c r="J123" s="14" t="s">
        <v>63</v>
      </c>
      <c r="K123" s="14" t="s">
        <v>17</v>
      </c>
    </row>
    <row r="124" customFormat="false" ht="23.85" hidden="false" customHeight="false" outlineLevel="0" collapsed="false">
      <c r="A124" s="13" t="n">
        <v>123</v>
      </c>
      <c r="B124" s="14" t="s">
        <v>7</v>
      </c>
      <c r="C124" s="14" t="s">
        <v>381</v>
      </c>
      <c r="D124" s="14" t="s">
        <v>362</v>
      </c>
      <c r="E124" s="14" t="s">
        <v>382</v>
      </c>
      <c r="F124" s="14" t="s">
        <v>386</v>
      </c>
      <c r="G124" s="15" t="s">
        <v>11</v>
      </c>
      <c r="H124" s="14" t="s">
        <v>71</v>
      </c>
      <c r="I124" s="14" t="s">
        <v>387</v>
      </c>
      <c r="J124" s="14" t="s">
        <v>63</v>
      </c>
      <c r="K124" s="14" t="s">
        <v>17</v>
      </c>
    </row>
    <row r="125" customFormat="false" ht="23.85" hidden="false" customHeight="false" outlineLevel="0" collapsed="false">
      <c r="A125" s="13" t="n">
        <v>124</v>
      </c>
      <c r="B125" s="14" t="s">
        <v>7</v>
      </c>
      <c r="C125" s="14" t="s">
        <v>381</v>
      </c>
      <c r="D125" s="14" t="s">
        <v>362</v>
      </c>
      <c r="E125" s="14" t="s">
        <v>382</v>
      </c>
      <c r="F125" s="14" t="s">
        <v>102</v>
      </c>
      <c r="G125" s="15" t="s">
        <v>11</v>
      </c>
      <c r="H125" s="14" t="s">
        <v>71</v>
      </c>
      <c r="I125" s="14" t="s">
        <v>388</v>
      </c>
      <c r="J125" s="14" t="s">
        <v>63</v>
      </c>
      <c r="K125" s="14" t="s">
        <v>17</v>
      </c>
    </row>
    <row r="126" customFormat="false" ht="23.85" hidden="false" customHeight="false" outlineLevel="0" collapsed="false">
      <c r="A126" s="13" t="n">
        <v>125</v>
      </c>
      <c r="B126" s="14" t="s">
        <v>7</v>
      </c>
      <c r="C126" s="14" t="s">
        <v>389</v>
      </c>
      <c r="D126" s="14" t="s">
        <v>362</v>
      </c>
      <c r="E126" s="14" t="s">
        <v>390</v>
      </c>
      <c r="F126" s="14" t="s">
        <v>391</v>
      </c>
      <c r="G126" s="15" t="s">
        <v>11</v>
      </c>
      <c r="H126" s="14" t="s">
        <v>61</v>
      </c>
      <c r="I126" s="14" t="s">
        <v>392</v>
      </c>
      <c r="J126" s="14" t="s">
        <v>63</v>
      </c>
      <c r="K126" s="14" t="s">
        <v>17</v>
      </c>
    </row>
    <row r="127" customFormat="false" ht="23.85" hidden="false" customHeight="false" outlineLevel="0" collapsed="false">
      <c r="A127" s="13" t="n">
        <v>126</v>
      </c>
      <c r="B127" s="14" t="s">
        <v>7</v>
      </c>
      <c r="C127" s="14" t="s">
        <v>389</v>
      </c>
      <c r="D127" s="14" t="s">
        <v>362</v>
      </c>
      <c r="E127" s="14" t="s">
        <v>390</v>
      </c>
      <c r="F127" s="14" t="s">
        <v>393</v>
      </c>
      <c r="G127" s="16" t="s">
        <v>15</v>
      </c>
      <c r="H127" s="14" t="s">
        <v>176</v>
      </c>
      <c r="I127" s="14" t="s">
        <v>394</v>
      </c>
      <c r="J127" s="14" t="s">
        <v>63</v>
      </c>
      <c r="K127" s="14" t="s">
        <v>17</v>
      </c>
    </row>
    <row r="128" customFormat="false" ht="23.85" hidden="false" customHeight="false" outlineLevel="0" collapsed="false">
      <c r="A128" s="13" t="n">
        <v>127</v>
      </c>
      <c r="B128" s="14" t="s">
        <v>7</v>
      </c>
      <c r="C128" s="14" t="s">
        <v>389</v>
      </c>
      <c r="D128" s="14" t="s">
        <v>362</v>
      </c>
      <c r="E128" s="14" t="s">
        <v>390</v>
      </c>
      <c r="F128" s="14" t="s">
        <v>395</v>
      </c>
      <c r="G128" s="16" t="s">
        <v>15</v>
      </c>
      <c r="H128" s="14" t="s">
        <v>396</v>
      </c>
      <c r="I128" s="14" t="s">
        <v>397</v>
      </c>
      <c r="J128" s="14" t="s">
        <v>63</v>
      </c>
      <c r="K128" s="14" t="s">
        <v>17</v>
      </c>
    </row>
    <row r="129" customFormat="false" ht="23.85" hidden="false" customHeight="false" outlineLevel="0" collapsed="false">
      <c r="A129" s="13" t="n">
        <v>128</v>
      </c>
      <c r="B129" s="14" t="s">
        <v>8</v>
      </c>
      <c r="C129" s="14" t="s">
        <v>398</v>
      </c>
      <c r="D129" s="14" t="s">
        <v>204</v>
      </c>
      <c r="E129" s="14" t="s">
        <v>399</v>
      </c>
      <c r="F129" s="14" t="s">
        <v>400</v>
      </c>
      <c r="G129" s="15" t="s">
        <v>11</v>
      </c>
      <c r="H129" s="14" t="s">
        <v>152</v>
      </c>
      <c r="I129" s="14" t="s">
        <v>401</v>
      </c>
      <c r="J129" s="14" t="s">
        <v>47</v>
      </c>
      <c r="K129" s="14" t="s">
        <v>17</v>
      </c>
    </row>
    <row r="130" customFormat="false" ht="23.85" hidden="false" customHeight="false" outlineLevel="0" collapsed="false">
      <c r="A130" s="13" t="n">
        <v>129</v>
      </c>
      <c r="B130" s="14" t="s">
        <v>8</v>
      </c>
      <c r="C130" s="14" t="s">
        <v>398</v>
      </c>
      <c r="D130" s="14" t="s">
        <v>204</v>
      </c>
      <c r="E130" s="14" t="s">
        <v>399</v>
      </c>
      <c r="F130" s="14" t="s">
        <v>280</v>
      </c>
      <c r="G130" s="15" t="s">
        <v>11</v>
      </c>
      <c r="H130" s="14" t="s">
        <v>71</v>
      </c>
      <c r="I130" s="14" t="s">
        <v>402</v>
      </c>
      <c r="J130" s="14" t="s">
        <v>47</v>
      </c>
      <c r="K130" s="14" t="s">
        <v>17</v>
      </c>
    </row>
    <row r="131" customFormat="false" ht="23.85" hidden="false" customHeight="false" outlineLevel="0" collapsed="false">
      <c r="A131" s="13" t="n">
        <v>130</v>
      </c>
      <c r="B131" s="14" t="s">
        <v>8</v>
      </c>
      <c r="C131" s="14" t="s">
        <v>398</v>
      </c>
      <c r="D131" s="14" t="s">
        <v>204</v>
      </c>
      <c r="E131" s="14" t="s">
        <v>303</v>
      </c>
      <c r="F131" s="14" t="s">
        <v>403</v>
      </c>
      <c r="G131" s="15" t="s">
        <v>11</v>
      </c>
      <c r="H131" s="14" t="s">
        <v>404</v>
      </c>
      <c r="I131" s="14" t="s">
        <v>405</v>
      </c>
      <c r="J131" s="14" t="s">
        <v>55</v>
      </c>
      <c r="K131" s="14" t="s">
        <v>17</v>
      </c>
    </row>
    <row r="132" customFormat="false" ht="23.85" hidden="false" customHeight="false" outlineLevel="0" collapsed="false">
      <c r="A132" s="13" t="n">
        <v>131</v>
      </c>
      <c r="B132" s="14" t="s">
        <v>8</v>
      </c>
      <c r="C132" s="14" t="s">
        <v>406</v>
      </c>
      <c r="D132" s="14" t="s">
        <v>212</v>
      </c>
      <c r="E132" s="14" t="s">
        <v>407</v>
      </c>
      <c r="F132" s="14" t="s">
        <v>408</v>
      </c>
      <c r="G132" s="15" t="s">
        <v>11</v>
      </c>
      <c r="H132" s="14" t="s">
        <v>152</v>
      </c>
      <c r="I132" s="14" t="s">
        <v>409</v>
      </c>
      <c r="J132" s="14" t="s">
        <v>47</v>
      </c>
      <c r="K132" s="14" t="s">
        <v>17</v>
      </c>
    </row>
    <row r="133" customFormat="false" ht="23.85" hidden="false" customHeight="false" outlineLevel="0" collapsed="false">
      <c r="A133" s="13" t="n">
        <v>132</v>
      </c>
      <c r="B133" s="14" t="s">
        <v>8</v>
      </c>
      <c r="C133" s="14" t="s">
        <v>410</v>
      </c>
      <c r="D133" s="14" t="s">
        <v>212</v>
      </c>
      <c r="E133" s="14" t="s">
        <v>411</v>
      </c>
      <c r="F133" s="14" t="s">
        <v>412</v>
      </c>
      <c r="G133" s="15" t="s">
        <v>11</v>
      </c>
      <c r="H133" s="14" t="s">
        <v>152</v>
      </c>
      <c r="I133" s="14" t="s">
        <v>413</v>
      </c>
      <c r="J133" s="14" t="s">
        <v>55</v>
      </c>
      <c r="K133" s="14" t="s">
        <v>17</v>
      </c>
    </row>
    <row r="134" customFormat="false" ht="23.85" hidden="false" customHeight="false" outlineLevel="0" collapsed="false">
      <c r="A134" s="13" t="n">
        <v>133</v>
      </c>
      <c r="B134" s="14" t="s">
        <v>8</v>
      </c>
      <c r="C134" s="14" t="s">
        <v>414</v>
      </c>
      <c r="D134" s="14" t="s">
        <v>212</v>
      </c>
      <c r="E134" s="14" t="s">
        <v>415</v>
      </c>
      <c r="F134" s="14" t="s">
        <v>201</v>
      </c>
      <c r="G134" s="15" t="s">
        <v>11</v>
      </c>
      <c r="H134" s="14" t="s">
        <v>61</v>
      </c>
      <c r="I134" s="14" t="s">
        <v>416</v>
      </c>
      <c r="J134" s="14" t="s">
        <v>55</v>
      </c>
      <c r="K134" s="14" t="s">
        <v>17</v>
      </c>
    </row>
    <row r="135" customFormat="false" ht="23.85" hidden="false" customHeight="false" outlineLevel="0" collapsed="false">
      <c r="A135" s="13" t="n">
        <v>134</v>
      </c>
      <c r="B135" s="14" t="s">
        <v>8</v>
      </c>
      <c r="C135" s="14" t="s">
        <v>417</v>
      </c>
      <c r="D135" s="14" t="s">
        <v>212</v>
      </c>
      <c r="E135" s="14" t="s">
        <v>322</v>
      </c>
      <c r="F135" s="14" t="s">
        <v>418</v>
      </c>
      <c r="G135" s="15" t="s">
        <v>11</v>
      </c>
      <c r="H135" s="14" t="s">
        <v>131</v>
      </c>
      <c r="I135" s="14" t="s">
        <v>419</v>
      </c>
      <c r="J135" s="14" t="s">
        <v>47</v>
      </c>
      <c r="K135" s="14" t="s">
        <v>17</v>
      </c>
    </row>
    <row r="136" customFormat="false" ht="23.85" hidden="false" customHeight="false" outlineLevel="0" collapsed="false">
      <c r="A136" s="13" t="n">
        <v>135</v>
      </c>
      <c r="B136" s="14" t="s">
        <v>8</v>
      </c>
      <c r="C136" s="14" t="s">
        <v>420</v>
      </c>
      <c r="D136" s="14" t="s">
        <v>212</v>
      </c>
      <c r="E136" s="14" t="s">
        <v>289</v>
      </c>
      <c r="F136" s="14" t="s">
        <v>421</v>
      </c>
      <c r="G136" s="15" t="s">
        <v>11</v>
      </c>
      <c r="H136" s="14" t="s">
        <v>152</v>
      </c>
      <c r="I136" s="14" t="s">
        <v>422</v>
      </c>
      <c r="J136" s="14" t="s">
        <v>47</v>
      </c>
      <c r="K136" s="14" t="s">
        <v>17</v>
      </c>
    </row>
    <row r="137" customFormat="false" ht="23.85" hidden="false" customHeight="false" outlineLevel="0" collapsed="false">
      <c r="A137" s="13" t="n">
        <v>136</v>
      </c>
      <c r="B137" s="14" t="s">
        <v>8</v>
      </c>
      <c r="C137" s="14" t="s">
        <v>423</v>
      </c>
      <c r="D137" s="14" t="s">
        <v>204</v>
      </c>
      <c r="E137" s="14" t="s">
        <v>424</v>
      </c>
      <c r="F137" s="14" t="s">
        <v>425</v>
      </c>
      <c r="G137" s="15" t="s">
        <v>11</v>
      </c>
      <c r="H137" s="14" t="s">
        <v>61</v>
      </c>
      <c r="I137" s="14" t="s">
        <v>426</v>
      </c>
      <c r="J137" s="14" t="s">
        <v>47</v>
      </c>
      <c r="K137" s="14" t="s">
        <v>17</v>
      </c>
    </row>
    <row r="138" customFormat="false" ht="23.85" hidden="false" customHeight="false" outlineLevel="0" collapsed="false">
      <c r="A138" s="13" t="n">
        <v>137</v>
      </c>
      <c r="B138" s="14" t="s">
        <v>8</v>
      </c>
      <c r="C138" s="14" t="s">
        <v>427</v>
      </c>
      <c r="D138" s="14" t="s">
        <v>204</v>
      </c>
      <c r="E138" s="14" t="s">
        <v>428</v>
      </c>
      <c r="F138" s="14" t="s">
        <v>429</v>
      </c>
      <c r="G138" s="15" t="s">
        <v>11</v>
      </c>
      <c r="H138" s="14" t="s">
        <v>131</v>
      </c>
      <c r="I138" s="14" t="s">
        <v>430</v>
      </c>
      <c r="J138" s="14" t="s">
        <v>47</v>
      </c>
      <c r="K138" s="14" t="s">
        <v>17</v>
      </c>
    </row>
    <row r="139" customFormat="false" ht="23.85" hidden="false" customHeight="false" outlineLevel="0" collapsed="false">
      <c r="A139" s="13" t="n">
        <v>138</v>
      </c>
      <c r="B139" s="14" t="s">
        <v>8</v>
      </c>
      <c r="C139" s="14" t="s">
        <v>431</v>
      </c>
      <c r="D139" s="14" t="s">
        <v>212</v>
      </c>
      <c r="E139" s="14" t="s">
        <v>432</v>
      </c>
      <c r="F139" s="14" t="s">
        <v>433</v>
      </c>
      <c r="G139" s="15" t="s">
        <v>11</v>
      </c>
      <c r="H139" s="14" t="s">
        <v>434</v>
      </c>
      <c r="I139" s="14" t="s">
        <v>435</v>
      </c>
      <c r="J139" s="14" t="s">
        <v>55</v>
      </c>
      <c r="K139" s="14" t="s">
        <v>17</v>
      </c>
    </row>
  </sheetData>
  <autoFilter ref="A1:K139"/>
  <conditionalFormatting sqref="K2:K139">
    <cfRule type="cellIs" priority="2" operator="equal" aboveAverage="0" equalAverage="0" bottom="0" percent="0" rank="0" text="" dxfId="7">
      <formula>"Built"</formula>
    </cfRule>
    <cfRule type="cellIs" priority="3" operator="equal" aboveAverage="0" equalAverage="0" bottom="0" percent="0" rank="0" text="" dxfId="8">
      <formula>"Practicing"</formula>
    </cfRule>
    <cfRule type="cellIs" priority="4" operator="equal" aboveAverage="0" equalAverage="0" bottom="0" percent="0" rank="0" text="" dxfId="9">
      <formula>"Learning"</formula>
    </cfRule>
    <cfRule type="cellIs" priority="5" operator="equal" aboveAverage="0" equalAverage="0" bottom="0" percent="0" rank="0" text="" dxfId="10">
      <formula>"Skip"</formula>
    </cfRule>
  </conditionalFormatting>
  <dataValidations count="2">
    <dataValidation allowBlank="false" errorStyle="stop" operator="between" showDropDown="false" showErrorMessage="false" showInputMessage="false" sqref="K2:K139" type="list">
      <formula1>"Not started,Learning,Practicing,Built,Skip"</formula1>
      <formula2>0</formula2>
    </dataValidation>
    <dataValidation allowBlank="false" errorStyle="stop" operator="between" showDropDown="false" showErrorMessage="false" showInputMessage="false" sqref="J2:J139" type="list">
      <formula1>"Must,Should,Optional"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50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4" t="s">
        <v>436</v>
      </c>
      <c r="B1" s="4" t="s">
        <v>437</v>
      </c>
      <c r="C1" s="4" t="s">
        <v>438</v>
      </c>
      <c r="D1" s="4" t="s">
        <v>439</v>
      </c>
      <c r="E1" s="4" t="s">
        <v>440</v>
      </c>
    </row>
    <row r="2" customFormat="false" ht="23.85" hidden="false" customHeight="false" outlineLevel="0" collapsed="false">
      <c r="A2" s="13" t="n">
        <v>1</v>
      </c>
      <c r="B2" s="14" t="s">
        <v>441</v>
      </c>
      <c r="C2" s="14" t="s">
        <v>442</v>
      </c>
      <c r="D2" s="14" t="s">
        <v>443</v>
      </c>
      <c r="E2" s="14" t="s">
        <v>444</v>
      </c>
    </row>
    <row r="3" customFormat="false" ht="15" hidden="false" customHeight="false" outlineLevel="0" collapsed="false">
      <c r="A3" s="13" t="n">
        <v>2</v>
      </c>
      <c r="B3" s="14" t="s">
        <v>445</v>
      </c>
      <c r="C3" s="14" t="s">
        <v>446</v>
      </c>
      <c r="D3" s="14" t="s">
        <v>447</v>
      </c>
      <c r="E3" s="14" t="s">
        <v>448</v>
      </c>
    </row>
    <row r="4" customFormat="false" ht="15" hidden="false" customHeight="false" outlineLevel="0" collapsed="false">
      <c r="A4" s="13" t="n">
        <v>3</v>
      </c>
      <c r="B4" s="14" t="s">
        <v>449</v>
      </c>
      <c r="C4" s="14" t="s">
        <v>450</v>
      </c>
      <c r="D4" s="14" t="s">
        <v>451</v>
      </c>
      <c r="E4" s="14" t="s">
        <v>452</v>
      </c>
    </row>
    <row r="5" customFormat="false" ht="15" hidden="false" customHeight="false" outlineLevel="0" collapsed="false">
      <c r="A5" s="13" t="n">
        <v>4</v>
      </c>
      <c r="B5" s="14" t="s">
        <v>453</v>
      </c>
      <c r="C5" s="14" t="s">
        <v>454</v>
      </c>
      <c r="D5" s="14" t="s">
        <v>455</v>
      </c>
      <c r="E5" s="14" t="s">
        <v>456</v>
      </c>
    </row>
    <row r="6" customFormat="false" ht="23.85" hidden="false" customHeight="false" outlineLevel="0" collapsed="false">
      <c r="A6" s="13" t="n">
        <v>5</v>
      </c>
      <c r="B6" s="14" t="s">
        <v>457</v>
      </c>
      <c r="C6" s="14" t="s">
        <v>458</v>
      </c>
      <c r="D6" s="14" t="s">
        <v>459</v>
      </c>
      <c r="E6" s="14" t="s">
        <v>460</v>
      </c>
    </row>
    <row r="7" customFormat="false" ht="23.85" hidden="false" customHeight="false" outlineLevel="0" collapsed="false">
      <c r="A7" s="13" t="n">
        <v>6</v>
      </c>
      <c r="B7" s="14" t="s">
        <v>461</v>
      </c>
      <c r="C7" s="14" t="s">
        <v>462</v>
      </c>
      <c r="D7" s="14" t="s">
        <v>463</v>
      </c>
      <c r="E7" s="14" t="s">
        <v>464</v>
      </c>
    </row>
    <row r="8" customFormat="false" ht="15" hidden="false" customHeight="false" outlineLevel="0" collapsed="false">
      <c r="A8" s="13" t="n">
        <v>7</v>
      </c>
      <c r="B8" s="14" t="s">
        <v>465</v>
      </c>
      <c r="C8" s="14" t="s">
        <v>466</v>
      </c>
      <c r="D8" s="14" t="s">
        <v>408</v>
      </c>
      <c r="E8" s="14" t="s">
        <v>467</v>
      </c>
    </row>
    <row r="9" customFormat="false" ht="15" hidden="false" customHeight="false" outlineLevel="0" collapsed="false">
      <c r="A9" s="13" t="n">
        <v>8</v>
      </c>
      <c r="B9" s="14" t="s">
        <v>399</v>
      </c>
      <c r="C9" s="14" t="s">
        <v>468</v>
      </c>
      <c r="D9" s="14" t="s">
        <v>469</v>
      </c>
      <c r="E9" s="14" t="s">
        <v>470</v>
      </c>
    </row>
    <row r="10" customFormat="false" ht="15" hidden="false" customHeight="false" outlineLevel="0" collapsed="false">
      <c r="A10" s="13" t="n">
        <v>9</v>
      </c>
      <c r="B10" s="14" t="s">
        <v>289</v>
      </c>
      <c r="C10" s="14" t="s">
        <v>471</v>
      </c>
      <c r="D10" s="14" t="s">
        <v>472</v>
      </c>
      <c r="E10" s="14" t="s">
        <v>473</v>
      </c>
    </row>
    <row r="11" customFormat="false" ht="23.85" hidden="false" customHeight="false" outlineLevel="0" collapsed="false">
      <c r="A11" s="13" t="n">
        <v>10</v>
      </c>
      <c r="B11" s="14" t="s">
        <v>474</v>
      </c>
      <c r="C11" s="14" t="s">
        <v>475</v>
      </c>
      <c r="D11" s="14" t="s">
        <v>476</v>
      </c>
      <c r="E11" s="14" t="s">
        <v>477</v>
      </c>
    </row>
    <row r="12" customFormat="false" ht="15" hidden="false" customHeight="false" outlineLevel="0" collapsed="false">
      <c r="A12" s="13" t="n">
        <v>11</v>
      </c>
      <c r="B12" s="14" t="s">
        <v>478</v>
      </c>
      <c r="C12" s="14" t="s">
        <v>479</v>
      </c>
      <c r="D12" s="14" t="s">
        <v>480</v>
      </c>
      <c r="E12" s="14" t="s">
        <v>481</v>
      </c>
    </row>
    <row r="13" customFormat="false" ht="15" hidden="false" customHeight="false" outlineLevel="0" collapsed="false">
      <c r="A13" s="13" t="n">
        <v>12</v>
      </c>
      <c r="B13" s="14" t="s">
        <v>362</v>
      </c>
      <c r="C13" s="14" t="s">
        <v>482</v>
      </c>
      <c r="D13" s="14" t="s">
        <v>483</v>
      </c>
      <c r="E13" s="14" t="s">
        <v>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6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4" t="s">
        <v>485</v>
      </c>
      <c r="B1" s="4" t="s">
        <v>486</v>
      </c>
      <c r="C1" s="4" t="s">
        <v>487</v>
      </c>
    </row>
    <row r="2" customFormat="false" ht="15" hidden="false" customHeight="false" outlineLevel="0" collapsed="false">
      <c r="A2" s="14" t="s">
        <v>488</v>
      </c>
      <c r="B2" s="14" t="s">
        <v>489</v>
      </c>
      <c r="C2" s="14" t="s">
        <v>490</v>
      </c>
    </row>
    <row r="3" customFormat="false" ht="15" hidden="false" customHeight="false" outlineLevel="0" collapsed="false">
      <c r="A3" s="14" t="s">
        <v>491</v>
      </c>
      <c r="B3" s="14" t="s">
        <v>492</v>
      </c>
      <c r="C3" s="14" t="s">
        <v>493</v>
      </c>
    </row>
    <row r="4" customFormat="false" ht="15" hidden="false" customHeight="false" outlineLevel="0" collapsed="false">
      <c r="A4" s="14" t="s">
        <v>494</v>
      </c>
      <c r="B4" s="14" t="s">
        <v>495</v>
      </c>
      <c r="C4" s="14" t="s">
        <v>496</v>
      </c>
    </row>
    <row r="5" customFormat="false" ht="15" hidden="false" customHeight="false" outlineLevel="0" collapsed="false">
      <c r="A5" s="14" t="s">
        <v>182</v>
      </c>
      <c r="B5" s="14" t="s">
        <v>183</v>
      </c>
      <c r="C5" s="14" t="s">
        <v>493</v>
      </c>
    </row>
    <row r="6" customFormat="false" ht="15" hidden="false" customHeight="false" outlineLevel="0" collapsed="false">
      <c r="A6" s="14" t="s">
        <v>497</v>
      </c>
      <c r="B6" s="14" t="s">
        <v>141</v>
      </c>
      <c r="C6" s="14" t="s">
        <v>493</v>
      </c>
    </row>
    <row r="7" customFormat="false" ht="15" hidden="false" customHeight="false" outlineLevel="0" collapsed="false">
      <c r="A7" s="14" t="s">
        <v>498</v>
      </c>
      <c r="B7" s="14" t="s">
        <v>499</v>
      </c>
      <c r="C7" s="14" t="s">
        <v>493</v>
      </c>
    </row>
    <row r="8" customFormat="false" ht="15" hidden="false" customHeight="false" outlineLevel="0" collapsed="false">
      <c r="A8" s="14" t="s">
        <v>113</v>
      </c>
      <c r="B8" s="14" t="s">
        <v>115</v>
      </c>
      <c r="C8" s="14" t="s">
        <v>500</v>
      </c>
    </row>
    <row r="9" customFormat="false" ht="15" hidden="false" customHeight="false" outlineLevel="0" collapsed="false">
      <c r="A9" s="14" t="s">
        <v>501</v>
      </c>
      <c r="B9" s="14" t="s">
        <v>502</v>
      </c>
      <c r="C9" s="14" t="s">
        <v>503</v>
      </c>
    </row>
    <row r="10" customFormat="false" ht="15" hidden="false" customHeight="false" outlineLevel="0" collapsed="false">
      <c r="A10" s="14" t="s">
        <v>407</v>
      </c>
      <c r="B10" s="14" t="s">
        <v>504</v>
      </c>
      <c r="C10" s="14" t="s">
        <v>270</v>
      </c>
    </row>
    <row r="11" customFormat="false" ht="15" hidden="false" customHeight="false" outlineLevel="0" collapsed="false">
      <c r="A11" s="14" t="s">
        <v>399</v>
      </c>
      <c r="B11" s="14" t="s">
        <v>469</v>
      </c>
      <c r="C11" s="14" t="s">
        <v>493</v>
      </c>
    </row>
    <row r="12" customFormat="false" ht="15" hidden="false" customHeight="false" outlineLevel="0" collapsed="false">
      <c r="A12" s="14" t="s">
        <v>289</v>
      </c>
      <c r="B12" s="14" t="s">
        <v>472</v>
      </c>
      <c r="C12" s="14" t="s">
        <v>294</v>
      </c>
    </row>
    <row r="13" customFormat="false" ht="15" hidden="false" customHeight="false" outlineLevel="0" collapsed="false">
      <c r="A13" s="14" t="s">
        <v>505</v>
      </c>
      <c r="B13" s="14" t="s">
        <v>506</v>
      </c>
      <c r="C13" s="14" t="s">
        <v>507</v>
      </c>
    </row>
    <row r="14" customFormat="false" ht="15" hidden="false" customHeight="false" outlineLevel="0" collapsed="false">
      <c r="A14" s="14" t="s">
        <v>508</v>
      </c>
      <c r="B14" s="14" t="s">
        <v>509</v>
      </c>
      <c r="C14" s="14" t="s">
        <v>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4" t="s">
        <v>30</v>
      </c>
      <c r="B1" s="4" t="s">
        <v>510</v>
      </c>
    </row>
    <row r="2" customFormat="false" ht="15" hidden="false" customHeight="false" outlineLevel="0" collapsed="false">
      <c r="A2" s="13" t="n">
        <v>1</v>
      </c>
      <c r="B2" s="14" t="s">
        <v>511</v>
      </c>
    </row>
    <row r="3" customFormat="false" ht="23.85" hidden="false" customHeight="false" outlineLevel="0" collapsed="false">
      <c r="A3" s="13" t="n">
        <v>2</v>
      </c>
      <c r="B3" s="14" t="s">
        <v>512</v>
      </c>
    </row>
    <row r="4" customFormat="false" ht="23.85" hidden="false" customHeight="false" outlineLevel="0" collapsed="false">
      <c r="A4" s="13" t="n">
        <v>3</v>
      </c>
      <c r="B4" s="14" t="s">
        <v>513</v>
      </c>
    </row>
    <row r="5" customFormat="false" ht="23.85" hidden="false" customHeight="false" outlineLevel="0" collapsed="false">
      <c r="A5" s="13" t="n">
        <v>4</v>
      </c>
      <c r="B5" s="14" t="s">
        <v>514</v>
      </c>
    </row>
    <row r="6" customFormat="false" ht="23.85" hidden="false" customHeight="false" outlineLevel="0" collapsed="false">
      <c r="A6" s="13" t="n">
        <v>5</v>
      </c>
      <c r="B6" s="14" t="s">
        <v>515</v>
      </c>
    </row>
    <row r="7" customFormat="false" ht="23.85" hidden="false" customHeight="false" outlineLevel="0" collapsed="false">
      <c r="A7" s="13" t="n">
        <v>6</v>
      </c>
      <c r="B7" s="14" t="s">
        <v>516</v>
      </c>
    </row>
    <row r="8" customFormat="false" ht="23.85" hidden="false" customHeight="false" outlineLevel="0" collapsed="false">
      <c r="A8" s="13" t="n">
        <v>7</v>
      </c>
      <c r="B8" s="14" t="s">
        <v>517</v>
      </c>
    </row>
    <row r="9" customFormat="false" ht="15" hidden="false" customHeight="false" outlineLevel="0" collapsed="false">
      <c r="A9" s="13" t="n">
        <v>8</v>
      </c>
      <c r="B9" s="14" t="s">
        <v>518</v>
      </c>
    </row>
    <row r="10" customFormat="false" ht="15" hidden="false" customHeight="false" outlineLevel="0" collapsed="false">
      <c r="A10" s="13" t="n">
        <v>9</v>
      </c>
      <c r="B10" s="14" t="s">
        <v>519</v>
      </c>
    </row>
    <row r="11" customFormat="false" ht="23.85" hidden="false" customHeight="false" outlineLevel="0" collapsed="false">
      <c r="A11" s="13" t="n">
        <v>10</v>
      </c>
      <c r="B11" s="14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2026-10-01T04:20:19Z</dcterms:created>
  <dc:creator>openpyxl</dc:creator>
  <dc:description/>
  <dc:language>en-US</dc:language>
  <cp:lastModifiedBy/>
  <dcterms:modified xsi:type="dcterms:W3CDTF">2026-10-01T04:20:19Z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