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rchitecture" sheetId="2" state="visible" r:id="rId4"/>
    <sheet name="Phased Plan" sheetId="3" state="visible" r:id="rId5"/>
    <sheet name="Rules" sheetId="4" state="visible" r:id="rId6"/>
    <sheet name="Ri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<sst xmlns="http://schemas.openxmlformats.org/spreadsheetml/2006/main" count="131" uniqueCount="114">
  <si>
    <t xml:space="preserve">AI Testing Automation Plan: Jira to Report</t>
  </si>
  <si>
    <t xml:space="preserve">Goal</t>
  </si>
  <si>
    <t xml:space="preserve">A Jira test case goes in. The pipeline generates a feature file, step definitions and page objects, runs the tests, analyses failures, suggests fixes, and publishes a report. Humans approve anything that changes code.</t>
  </si>
  <si>
    <t xml:space="preserve">Plan start date</t>
  </si>
  <si>
    <t xml:space="preserve">Edit this date (yellow cell). All phase dates on the 'Phased Plan' tab recalculate.</t>
  </si>
  <si>
    <t xml:space="preserve">Schedule summary</t>
  </si>
  <si>
    <t xml:space="preserve">Total weeks (min)</t>
  </si>
  <si>
    <t xml:space="preserve">Total weeks (max)</t>
  </si>
  <si>
    <t xml:space="preserve">Planned finish (uses max weeks)</t>
  </si>
  <si>
    <t xml:space="preserve">First milestone, weeks (Phases 0-1, min)</t>
  </si>
  <si>
    <t xml:space="preserve">First milestone, weeks (Phases 0-1, max)</t>
  </si>
  <si>
    <t xml:space="preserve">Phases done</t>
  </si>
  <si>
    <t xml:space="preserve">Progress</t>
  </si>
  <si>
    <t xml:space="preserve">Assumptions</t>
  </si>
  <si>
    <t xml:space="preserve">1. Week estimates are rough, for one person working part-time. They are planning estimates, not commitments.</t>
  </si>
  <si>
    <t xml:space="preserve">2. Phase 1 is a 1-2 week range; the schedule uses the max so the dates are conservative.</t>
  </si>
  <si>
    <t xml:space="preserve">3. Phases run back to back with no overlap or buffer. Edit min/max weeks on the 'Phased Plan' tab to change the schedule.</t>
  </si>
  <si>
    <t xml:space="preserve">4. The start date (2026-10-05) is a placeholder assumption; set your own.</t>
  </si>
  <si>
    <t xml:space="preserve">Layer</t>
  </si>
  <si>
    <t xml:space="preserve">Responsibility</t>
  </si>
  <si>
    <t xml:space="preserve">Tools</t>
  </si>
  <si>
    <t xml:space="preserve">Input</t>
  </si>
  <si>
    <t xml:space="preserve">Pull test cases</t>
  </si>
  <si>
    <t xml:space="preserve">mcp-atlassian / Jira REST</t>
  </si>
  <si>
    <t xml:space="preserve">Orchestration</t>
  </si>
  <si>
    <t xml:space="preserve">Runs the workflow as a graph</t>
  </si>
  <si>
    <t xml:space="preserve">LangGraph (or LangChain4j)</t>
  </si>
  <si>
    <t xml:space="preserve">AI</t>
  </si>
  <si>
    <t xml:space="preserve">Generate tests, analyse failures, suggest fixes</t>
  </si>
  <si>
    <t xml:space="preserve">Claude API or Ollama</t>
  </si>
  <si>
    <t xml:space="preserve">Automation</t>
  </si>
  <si>
    <t xml:space="preserve">Execute tests</t>
  </si>
  <si>
    <t xml:space="preserve">Cucumber-JVM, JUnit 5, Playwright / Selenium, Rest Assured, Appium</t>
  </si>
  <si>
    <t xml:space="preserve">Quality and safety</t>
  </si>
  <si>
    <t xml:space="preserve">Validate, evaluate, scan</t>
  </si>
  <si>
    <t xml:space="preserve">Pydantic, Guardrails AI, LLM Guard, promptfoo / DeepEval</t>
  </si>
  <si>
    <t xml:space="preserve">Observability and reporting</t>
  </si>
  <si>
    <t xml:space="preserve">Trace and report</t>
  </si>
  <si>
    <t xml:space="preserve">Langfuse, Allure / ReportPortal</t>
  </si>
  <si>
    <t xml:space="preserve">Delivery</t>
  </si>
  <si>
    <t xml:space="preserve">Run it reliably</t>
  </si>
  <si>
    <t xml:space="preserve">Docker, Jenkins</t>
  </si>
  <si>
    <t xml:space="preserve">Phased plan (dates calculate from the start date on the Overview tab; blue = editable inputs)</t>
  </si>
  <si>
    <t xml:space="preserve">Phase</t>
  </si>
  <si>
    <t xml:space="preserve">Name</t>
  </si>
  <si>
    <t xml:space="preserve">What to build</t>
  </si>
  <si>
    <t xml:space="preserve">Min weeks</t>
  </si>
  <si>
    <t xml:space="preserve">Max weeks</t>
  </si>
  <si>
    <t xml:space="preserve">Done when</t>
  </si>
  <si>
    <t xml:space="preserve">Start</t>
  </si>
  <si>
    <t xml:space="preserve">End</t>
  </si>
  <si>
    <t xml:space="preserve">Status</t>
  </si>
  <si>
    <t xml:space="preserve">Notes</t>
  </si>
  <si>
    <t xml:space="preserve">0</t>
  </si>
  <si>
    <t xml:space="preserve">Baseline</t>
  </si>
  <si>
    <t xml:space="preserve">A small stable Java suite (UI + API) with Cucumber, Maven, Allure, running in Jenkins</t>
  </si>
  <si>
    <t xml:space="preserve">Suite runs green in CI with a report</t>
  </si>
  <si>
    <t xml:space="preserve">Not started</t>
  </si>
  <si>
    <t xml:space="preserve">1</t>
  </si>
  <si>
    <t xml:space="preserve">Jira to feature file</t>
  </si>
  <si>
    <t xml:space="preserve">Fetch a ticket, prompt the LLM, validate output with Pydantic, write a .feature file</t>
  </si>
  <si>
    <t xml:space="preserve">10 sample tickets produce reviewable features</t>
  </si>
  <si>
    <t xml:space="preserve">2</t>
  </si>
  <si>
    <t xml:space="preserve">Step definitions and page objects</t>
  </si>
  <si>
    <t xml:space="preserve">LLM generates glue code and page classes into your repo as a branch or PR</t>
  </si>
  <si>
    <t xml:space="preserve">Generated code compiles and passes on a simple flow</t>
  </si>
  <si>
    <t xml:space="preserve">3</t>
  </si>
  <si>
    <t xml:space="preserve">Execution and failure capture</t>
  </si>
  <si>
    <t xml:space="preserve">Run tests in Docker; collect logs, screenshots, traces, DOM snippets</t>
  </si>
  <si>
    <t xml:space="preserve">Every failure has a bundle of evidence</t>
  </si>
  <si>
    <t xml:space="preserve">4</t>
  </si>
  <si>
    <t xml:space="preserve">AI root cause and suggested fix</t>
  </si>
  <si>
    <t xml:space="preserve">Feed the evidence to the LLM, get a diagnosis and a diff</t>
  </si>
  <si>
    <t xml:space="preserve">Diff opens as a PR; nothing auto-merges</t>
  </si>
  <si>
    <t xml:space="preserve">5</t>
  </si>
  <si>
    <t xml:space="preserve">Evaluation gate</t>
  </si>
  <si>
    <t xml:space="preserve">Regression set of tickets and failures; run promptfoo / DeepEval in Jenkins</t>
  </si>
  <si>
    <t xml:space="preserve">A prompt or model change that lowers quality fails the build</t>
  </si>
  <si>
    <t xml:space="preserve">6</t>
  </si>
  <si>
    <t xml:space="preserve">Safety and observability</t>
  </si>
  <si>
    <t xml:space="preserve">Injection scanning on Jira text, edit restrictions, Langfuse tracing</t>
  </si>
  <si>
    <t xml:space="preserve">You can replay any agent run and see what the LLM saw</t>
  </si>
  <si>
    <t xml:space="preserve">7</t>
  </si>
  <si>
    <t xml:space="preserve">Multi-agent and RAG</t>
  </si>
  <si>
    <t xml:space="preserve">Split into generator, reviewer and analyst agents; retrieve past tests and defects</t>
  </si>
  <si>
    <t xml:space="preserve">Fewer rejected generations; better root-cause accuracy</t>
  </si>
  <si>
    <t xml:space="preserve">8</t>
  </si>
  <si>
    <t xml:space="preserve">Dashboard</t>
  </si>
  <si>
    <t xml:space="preserve">Allure / ReportPortal plus AI metrics</t>
  </si>
  <si>
    <t xml:space="preserve">Root-cause accuracy, fix acceptance rate and cost per run are visible</t>
  </si>
  <si>
    <t xml:space="preserve">Total</t>
  </si>
  <si>
    <t xml:space="preserve">#</t>
  </si>
  <si>
    <t xml:space="preserve">Rule to keep from day one</t>
  </si>
  <si>
    <t xml:space="preserve">Followed?</t>
  </si>
  <si>
    <t xml:space="preserve">Human approval before merging any generated test or fix.</t>
  </si>
  <si>
    <t xml:space="preserve">No</t>
  </si>
  <si>
    <t xml:space="preserve">Treat Jira content as untrusted input.</t>
  </si>
  <si>
    <t xml:space="preserve">Start with Ollama for experiments; use a hosted model where quality matters and policy allows.</t>
  </si>
  <si>
    <t xml:space="preserve">Measure everything: if you can't score the AI output, you can't improve it.</t>
  </si>
  <si>
    <t xml:space="preserve">Fix the AI's output format with schemas, not prompt wording alone.</t>
  </si>
  <si>
    <t xml:space="preserve">Risk</t>
  </si>
  <si>
    <t xml:space="preserve">Mitigation</t>
  </si>
  <si>
    <t xml:space="preserve">Owner</t>
  </si>
  <si>
    <t xml:space="preserve">Generated tests pass but test the wrong thing</t>
  </si>
  <si>
    <t xml:space="preserve">Human review plus an evaluation set with expected scenarios</t>
  </si>
  <si>
    <t xml:space="preserve">Open</t>
  </si>
  <si>
    <t xml:space="preserve">Flaky tests mistaken for real bugs</t>
  </si>
  <si>
    <t xml:space="preserve">Have the root-cause step classify as product bug, test bug, environment or flaky</t>
  </si>
  <si>
    <t xml:space="preserve">Hallucinated locators or APIs</t>
  </si>
  <si>
    <t xml:space="preserve">Give the agent the real DOM or OpenAPI spec as context</t>
  </si>
  <si>
    <t xml:space="preserve">Cost creep</t>
  </si>
  <si>
    <t xml:space="preserve">Cache, trim context, and track cost per run in Langfuse</t>
  </si>
  <si>
    <t xml:space="preserve">Sensitive data leakage</t>
  </si>
  <si>
    <t xml:space="preserve">Mask data before sending, or use local models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</si>
</sst>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5" min="3" style="0" width="3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  <c r="C3" s="3"/>
      <c r="D3" s="3"/>
      <c r="E3" s="3"/>
    </row>
    <row r="5" customFormat="false" ht="15" hidden="false" customHeight="false" outlineLevel="0" collapsed="false">
      <c r="A5" s="2" t="s">
        <v>3</v>
      </c>
      <c r="B5" s="4" t="n">
        <v>46300</v>
      </c>
      <c r="C5" s="5" t="s">
        <v>4</v>
      </c>
    </row>
    <row r="7" customFormat="false" ht="15" hidden="false" customHeight="false" outlineLevel="0" collapsed="false">
      <c r="A7" s="6" t="s">
        <v>5</v>
      </c>
    </row>
    <row r="8" customFormat="false" ht="15" hidden="false" customHeight="false" outlineLevel="0" collapsed="false">
      <c r="A8" s="7" t="s">
        <v>6</v>
      </c>
      <c r="B8" s="8" t="n">
        <f aca="false">SUM('Phased Plan'!D4:D12)</f>
        <v>13</v>
      </c>
    </row>
    <row r="9" customFormat="false" ht="15" hidden="false" customHeight="false" outlineLevel="0" collapsed="false">
      <c r="A9" s="7" t="s">
        <v>7</v>
      </c>
      <c r="B9" s="8" t="n">
        <f aca="false">SUM('Phased Plan'!E4:E12)</f>
        <v>14</v>
      </c>
    </row>
    <row r="10" customFormat="false" ht="15" hidden="false" customHeight="false" outlineLevel="0" collapsed="false">
      <c r="A10" s="7" t="s">
        <v>8</v>
      </c>
      <c r="B10" s="9" t="n">
        <f aca="false">'Phased Plan'!H12</f>
        <v>46397</v>
      </c>
    </row>
    <row r="11" customFormat="false" ht="15" hidden="false" customHeight="false" outlineLevel="0" collapsed="false">
      <c r="A11" s="7" t="s">
        <v>9</v>
      </c>
      <c r="B11" s="8" t="n">
        <f aca="false">SUM('Phased Plan'!D4:D5)</f>
        <v>3</v>
      </c>
    </row>
    <row r="12" customFormat="false" ht="15" hidden="false" customHeight="false" outlineLevel="0" collapsed="false">
      <c r="A12" s="7" t="s">
        <v>10</v>
      </c>
      <c r="B12" s="8" t="n">
        <f aca="false">SUM('Phased Plan'!E4:E5)</f>
        <v>4</v>
      </c>
    </row>
    <row r="13" customFormat="false" ht="15" hidden="false" customHeight="false" outlineLevel="0" collapsed="false">
      <c r="A13" s="7" t="s">
        <v>11</v>
      </c>
      <c r="B13" s="8" t="n">
        <f aca="false">COUNTIF('Phased Plan'!I4:I12,"Done")</f>
        <v>0</v>
      </c>
    </row>
    <row r="14" customFormat="false" ht="15" hidden="false" customHeight="false" outlineLevel="0" collapsed="false">
      <c r="A14" s="7" t="s">
        <v>12</v>
      </c>
      <c r="B14" s="10" t="n">
        <f aca="false">B13/COUNTA('Phased Plan'!A4:A12)</f>
        <v>0</v>
      </c>
    </row>
    <row r="16" customFormat="false" ht="15" hidden="false" customHeight="false" outlineLevel="0" collapsed="false">
      <c r="A16" s="6" t="s">
        <v>13</v>
      </c>
    </row>
    <row r="17" customFormat="false" ht="27.75" hidden="false" customHeight="true" outlineLevel="0" collapsed="false">
      <c r="A17" s="3" t="s">
        <v>14</v>
      </c>
      <c r="B17" s="3"/>
      <c r="C17" s="3"/>
      <c r="D17" s="3"/>
      <c r="E17" s="3"/>
    </row>
    <row r="18" customFormat="false" ht="27.75" hidden="false" customHeight="true" outlineLevel="0" collapsed="false">
      <c r="A18" s="3" t="s">
        <v>15</v>
      </c>
      <c r="B18" s="3"/>
      <c r="C18" s="3"/>
      <c r="D18" s="3"/>
      <c r="E18" s="3"/>
    </row>
    <row r="19" customFormat="false" ht="27.75" hidden="false" customHeight="true" outlineLevel="0" collapsed="false">
      <c r="A19" s="3" t="s">
        <v>16</v>
      </c>
      <c r="B19" s="3"/>
      <c r="C19" s="3"/>
      <c r="D19" s="3"/>
      <c r="E19" s="3"/>
    </row>
    <row r="20" customFormat="false" ht="27.75" hidden="false" customHeight="true" outlineLevel="0" collapsed="false">
      <c r="A20" s="3" t="s">
        <v>17</v>
      </c>
      <c r="B20" s="3"/>
      <c r="C20" s="3"/>
      <c r="D20" s="3"/>
      <c r="E20" s="3"/>
    </row>
  </sheetData>
  <mergeCells count="5">
    <mergeCell ref="B3:E3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1" t="s">
        <v>18</v>
      </c>
      <c r="B1" s="11" t="s">
        <v>19</v>
      </c>
      <c r="C1" s="11" t="s">
        <v>20</v>
      </c>
    </row>
    <row r="2" customFormat="false" ht="15" hidden="false" customHeight="false" outlineLevel="0" collapsed="false">
      <c r="A2" s="12" t="s">
        <v>21</v>
      </c>
      <c r="B2" s="12" t="s">
        <v>22</v>
      </c>
      <c r="C2" s="12" t="s">
        <v>23</v>
      </c>
    </row>
    <row r="3" customFormat="false" ht="15" hidden="false" customHeight="false" outlineLevel="0" collapsed="false">
      <c r="A3" s="12" t="s">
        <v>24</v>
      </c>
      <c r="B3" s="12" t="s">
        <v>25</v>
      </c>
      <c r="C3" s="12" t="s">
        <v>26</v>
      </c>
    </row>
    <row r="4" customFormat="false" ht="15" hidden="false" customHeight="false" outlineLevel="0" collapsed="false">
      <c r="A4" s="12" t="s">
        <v>27</v>
      </c>
      <c r="B4" s="12" t="s">
        <v>28</v>
      </c>
      <c r="C4" s="12" t="s">
        <v>29</v>
      </c>
    </row>
    <row r="5" customFormat="false" ht="15" hidden="false" customHeight="false" outlineLevel="0" collapsed="false">
      <c r="A5" s="12" t="s">
        <v>30</v>
      </c>
      <c r="B5" s="12" t="s">
        <v>31</v>
      </c>
      <c r="C5" s="12" t="s">
        <v>32</v>
      </c>
    </row>
    <row r="6" customFormat="false" ht="15" hidden="false" customHeight="false" outlineLevel="0" collapsed="false">
      <c r="A6" s="12" t="s">
        <v>33</v>
      </c>
      <c r="B6" s="12" t="s">
        <v>34</v>
      </c>
      <c r="C6" s="12" t="s">
        <v>35</v>
      </c>
    </row>
    <row r="7" customFormat="false" ht="15" hidden="false" customHeight="false" outlineLevel="0" collapsed="false">
      <c r="A7" s="12" t="s">
        <v>36</v>
      </c>
      <c r="B7" s="12" t="s">
        <v>37</v>
      </c>
      <c r="C7" s="12" t="s">
        <v>38</v>
      </c>
    </row>
    <row r="8" customFormat="false" ht="15" hidden="false" customHeight="false" outlineLevel="0" collapsed="false">
      <c r="A8" s="12" t="s">
        <v>39</v>
      </c>
      <c r="B8" s="12" t="s">
        <v>40</v>
      </c>
      <c r="C8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2"/>
    <col collapsed="false" customWidth="true" hidden="false" outlineLevel="0" max="5" min="4" style="0" width="10"/>
    <col collapsed="false" customWidth="true" hidden="false" outlineLevel="0" max="6" min="6" style="0" width="46"/>
    <col collapsed="false" customWidth="true" hidden="false" outlineLevel="0" max="9" min="7" style="0" width="13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2" t="s">
        <v>42</v>
      </c>
    </row>
    <row r="3" customFormat="false" ht="30" hidden="false" customHeight="true" outlineLevel="0" collapsed="false">
      <c r="A3" s="11" t="s">
        <v>43</v>
      </c>
      <c r="B3" s="11" t="s">
        <v>44</v>
      </c>
      <c r="C3" s="11" t="s">
        <v>45</v>
      </c>
      <c r="D3" s="11" t="s">
        <v>46</v>
      </c>
      <c r="E3" s="11" t="s">
        <v>47</v>
      </c>
      <c r="F3" s="11" t="s">
        <v>48</v>
      </c>
      <c r="G3" s="11" t="s">
        <v>49</v>
      </c>
      <c r="H3" s="11" t="s">
        <v>50</v>
      </c>
      <c r="I3" s="11" t="s">
        <v>51</v>
      </c>
      <c r="J3" s="11" t="s">
        <v>52</v>
      </c>
    </row>
    <row r="4" customFormat="false" ht="23.85" hidden="false" customHeight="false" outlineLevel="0" collapsed="false">
      <c r="A4" s="13" t="s">
        <v>53</v>
      </c>
      <c r="B4" s="12" t="s">
        <v>54</v>
      </c>
      <c r="C4" s="12" t="s">
        <v>55</v>
      </c>
      <c r="D4" s="14" t="n">
        <v>2</v>
      </c>
      <c r="E4" s="14" t="n">
        <v>2</v>
      </c>
      <c r="F4" s="12" t="s">
        <v>56</v>
      </c>
      <c r="G4" s="15" t="n">
        <f aca="false">Overview!$B$5</f>
        <v>46300</v>
      </c>
      <c r="H4" s="15" t="n">
        <f aca="false">G4+E4*7-1</f>
        <v>46313</v>
      </c>
      <c r="I4" s="13" t="s">
        <v>57</v>
      </c>
      <c r="J4" s="12"/>
    </row>
    <row r="5" customFormat="false" ht="23.85" hidden="false" customHeight="false" outlineLevel="0" collapsed="false">
      <c r="A5" s="13" t="s">
        <v>58</v>
      </c>
      <c r="B5" s="12" t="s">
        <v>59</v>
      </c>
      <c r="C5" s="12" t="s">
        <v>60</v>
      </c>
      <c r="D5" s="14" t="n">
        <v>1</v>
      </c>
      <c r="E5" s="14" t="n">
        <v>2</v>
      </c>
      <c r="F5" s="12" t="s">
        <v>61</v>
      </c>
      <c r="G5" s="15" t="n">
        <f aca="false">H4+1</f>
        <v>46314</v>
      </c>
      <c r="H5" s="15" t="n">
        <f aca="false">G5+E5*7-1</f>
        <v>46327</v>
      </c>
      <c r="I5" s="13" t="s">
        <v>57</v>
      </c>
      <c r="J5" s="12"/>
    </row>
    <row r="6" customFormat="false" ht="23.85" hidden="false" customHeight="false" outlineLevel="0" collapsed="false">
      <c r="A6" s="13" t="s">
        <v>62</v>
      </c>
      <c r="B6" s="12" t="s">
        <v>63</v>
      </c>
      <c r="C6" s="12" t="s">
        <v>64</v>
      </c>
      <c r="D6" s="14" t="n">
        <v>2</v>
      </c>
      <c r="E6" s="14" t="n">
        <v>2</v>
      </c>
      <c r="F6" s="12" t="s">
        <v>65</v>
      </c>
      <c r="G6" s="15" t="n">
        <f aca="false">H5+1</f>
        <v>46328</v>
      </c>
      <c r="H6" s="15" t="n">
        <f aca="false">G6+E6*7-1</f>
        <v>46341</v>
      </c>
      <c r="I6" s="13" t="s">
        <v>57</v>
      </c>
      <c r="J6" s="12"/>
    </row>
    <row r="7" customFormat="false" ht="23.85" hidden="false" customHeight="false" outlineLevel="0" collapsed="false">
      <c r="A7" s="13" t="s">
        <v>66</v>
      </c>
      <c r="B7" s="12" t="s">
        <v>67</v>
      </c>
      <c r="C7" s="12" t="s">
        <v>68</v>
      </c>
      <c r="D7" s="14" t="n">
        <v>1</v>
      </c>
      <c r="E7" s="14" t="n">
        <v>1</v>
      </c>
      <c r="F7" s="12" t="s">
        <v>69</v>
      </c>
      <c r="G7" s="15" t="n">
        <f aca="false">H6+1</f>
        <v>46342</v>
      </c>
      <c r="H7" s="15" t="n">
        <f aca="false">G7+E7*7-1</f>
        <v>46348</v>
      </c>
      <c r="I7" s="13" t="s">
        <v>57</v>
      </c>
      <c r="J7" s="12"/>
    </row>
    <row r="8" customFormat="false" ht="15" hidden="false" customHeight="false" outlineLevel="0" collapsed="false">
      <c r="A8" s="13" t="s">
        <v>70</v>
      </c>
      <c r="B8" s="12" t="s">
        <v>71</v>
      </c>
      <c r="C8" s="12" t="s">
        <v>72</v>
      </c>
      <c r="D8" s="14" t="n">
        <v>2</v>
      </c>
      <c r="E8" s="14" t="n">
        <v>2</v>
      </c>
      <c r="F8" s="12" t="s">
        <v>73</v>
      </c>
      <c r="G8" s="15" t="n">
        <f aca="false">H7+1</f>
        <v>46349</v>
      </c>
      <c r="H8" s="15" t="n">
        <f aca="false">G8+E8*7-1</f>
        <v>46362</v>
      </c>
      <c r="I8" s="13" t="s">
        <v>57</v>
      </c>
      <c r="J8" s="12"/>
    </row>
    <row r="9" customFormat="false" ht="23.85" hidden="false" customHeight="false" outlineLevel="0" collapsed="false">
      <c r="A9" s="13" t="s">
        <v>74</v>
      </c>
      <c r="B9" s="12" t="s">
        <v>75</v>
      </c>
      <c r="C9" s="12" t="s">
        <v>76</v>
      </c>
      <c r="D9" s="14" t="n">
        <v>1</v>
      </c>
      <c r="E9" s="14" t="n">
        <v>1</v>
      </c>
      <c r="F9" s="12" t="s">
        <v>77</v>
      </c>
      <c r="G9" s="15" t="n">
        <f aca="false">H8+1</f>
        <v>46363</v>
      </c>
      <c r="H9" s="15" t="n">
        <f aca="false">G9+E9*7-1</f>
        <v>46369</v>
      </c>
      <c r="I9" s="13" t="s">
        <v>57</v>
      </c>
      <c r="J9" s="12"/>
    </row>
    <row r="10" customFormat="false" ht="23.85" hidden="false" customHeight="false" outlineLevel="0" collapsed="false">
      <c r="A10" s="13" t="s">
        <v>78</v>
      </c>
      <c r="B10" s="12" t="s">
        <v>79</v>
      </c>
      <c r="C10" s="12" t="s">
        <v>80</v>
      </c>
      <c r="D10" s="14" t="n">
        <v>1</v>
      </c>
      <c r="E10" s="14" t="n">
        <v>1</v>
      </c>
      <c r="F10" s="12" t="s">
        <v>81</v>
      </c>
      <c r="G10" s="15" t="n">
        <f aca="false">H9+1</f>
        <v>46370</v>
      </c>
      <c r="H10" s="15" t="n">
        <f aca="false">G10+E10*7-1</f>
        <v>46376</v>
      </c>
      <c r="I10" s="13" t="s">
        <v>57</v>
      </c>
      <c r="J10" s="12"/>
    </row>
    <row r="11" customFormat="false" ht="23.85" hidden="false" customHeight="false" outlineLevel="0" collapsed="false">
      <c r="A11" s="13" t="s">
        <v>82</v>
      </c>
      <c r="B11" s="12" t="s">
        <v>83</v>
      </c>
      <c r="C11" s="12" t="s">
        <v>84</v>
      </c>
      <c r="D11" s="14" t="n">
        <v>2</v>
      </c>
      <c r="E11" s="14" t="n">
        <v>2</v>
      </c>
      <c r="F11" s="12" t="s">
        <v>85</v>
      </c>
      <c r="G11" s="15" t="n">
        <f aca="false">H10+1</f>
        <v>46377</v>
      </c>
      <c r="H11" s="15" t="n">
        <f aca="false">G11+E11*7-1</f>
        <v>46390</v>
      </c>
      <c r="I11" s="13" t="s">
        <v>57</v>
      </c>
      <c r="J11" s="12"/>
    </row>
    <row r="12" customFormat="false" ht="23.85" hidden="false" customHeight="false" outlineLevel="0" collapsed="false">
      <c r="A12" s="13" t="s">
        <v>86</v>
      </c>
      <c r="B12" s="12" t="s">
        <v>87</v>
      </c>
      <c r="C12" s="12" t="s">
        <v>88</v>
      </c>
      <c r="D12" s="14" t="n">
        <v>1</v>
      </c>
      <c r="E12" s="14" t="n">
        <v>1</v>
      </c>
      <c r="F12" s="12" t="s">
        <v>89</v>
      </c>
      <c r="G12" s="15" t="n">
        <f aca="false">H11+1</f>
        <v>46391</v>
      </c>
      <c r="H12" s="15" t="n">
        <f aca="false">G12+E12*7-1</f>
        <v>46397</v>
      </c>
      <c r="I12" s="13" t="s">
        <v>57</v>
      </c>
      <c r="J12" s="12"/>
    </row>
    <row r="13" customFormat="false" ht="15" hidden="false" customHeight="false" outlineLevel="0" collapsed="false">
      <c r="A13" s="16"/>
      <c r="B13" s="17" t="s">
        <v>90</v>
      </c>
      <c r="C13" s="17"/>
      <c r="D13" s="16" t="n">
        <f aca="false">SUM(D4:D12)</f>
        <v>13</v>
      </c>
      <c r="E13" s="16" t="n">
        <f aca="false">SUM(E4:E12)</f>
        <v>14</v>
      </c>
      <c r="F13" s="17"/>
      <c r="G13" s="16"/>
      <c r="H13" s="16"/>
      <c r="I13" s="16"/>
      <c r="J13" s="17"/>
    </row>
  </sheetData>
  <conditionalFormatting sqref="I4:I12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false" errorStyle="stop" operator="between" showDropDown="false" showErrorMessage="false" showInputMessage="false" sqref="I4:I12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1" t="s">
        <v>91</v>
      </c>
      <c r="B1" s="11" t="s">
        <v>92</v>
      </c>
      <c r="C1" s="11" t="s">
        <v>93</v>
      </c>
    </row>
    <row r="2" customFormat="false" ht="15" hidden="false" customHeight="false" outlineLevel="0" collapsed="false">
      <c r="A2" s="13" t="n">
        <v>1</v>
      </c>
      <c r="B2" s="12" t="s">
        <v>94</v>
      </c>
      <c r="C2" s="13" t="s">
        <v>95</v>
      </c>
    </row>
    <row r="3" customFormat="false" ht="15" hidden="false" customHeight="false" outlineLevel="0" collapsed="false">
      <c r="A3" s="13" t="n">
        <v>2</v>
      </c>
      <c r="B3" s="12" t="s">
        <v>96</v>
      </c>
      <c r="C3" s="13" t="s">
        <v>95</v>
      </c>
    </row>
    <row r="4" customFormat="false" ht="15" hidden="false" customHeight="false" outlineLevel="0" collapsed="false">
      <c r="A4" s="13" t="n">
        <v>3</v>
      </c>
      <c r="B4" s="12" t="s">
        <v>97</v>
      </c>
      <c r="C4" s="13" t="s">
        <v>95</v>
      </c>
    </row>
    <row r="5" customFormat="false" ht="15" hidden="false" customHeight="false" outlineLevel="0" collapsed="false">
      <c r="A5" s="13" t="n">
        <v>4</v>
      </c>
      <c r="B5" s="12" t="s">
        <v>98</v>
      </c>
      <c r="C5" s="13" t="s">
        <v>95</v>
      </c>
    </row>
    <row r="6" customFormat="false" ht="15" hidden="false" customHeight="false" outlineLevel="0" collapsed="false">
      <c r="A6" s="13" t="n">
        <v>5</v>
      </c>
      <c r="B6" s="12" t="s">
        <v>99</v>
      </c>
      <c r="C6" s="13" t="s">
        <v>95</v>
      </c>
    </row>
  </sheetData>
  <dataValidations count="1">
    <dataValidation allowBlank="false" errorStyle="stop" operator="between" showDropDown="false" showErrorMessage="false" showInputMessage="false" sqref="C2:C6" type="list">
      <formula1>"Yes,No,Partly"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1" t="s">
        <v>100</v>
      </c>
      <c r="B1" s="11" t="s">
        <v>101</v>
      </c>
      <c r="C1" s="11" t="s">
        <v>102</v>
      </c>
      <c r="D1" s="11" t="s">
        <v>51</v>
      </c>
    </row>
    <row r="2" customFormat="false" ht="15" hidden="false" customHeight="false" outlineLevel="0" collapsed="false">
      <c r="A2" s="12" t="s">
        <v>103</v>
      </c>
      <c r="B2" s="12" t="s">
        <v>104</v>
      </c>
      <c r="C2" s="12"/>
      <c r="D2" s="13" t="s">
        <v>105</v>
      </c>
    </row>
    <row r="3" customFormat="false" ht="15" hidden="false" customHeight="false" outlineLevel="0" collapsed="false">
      <c r="A3" s="12" t="s">
        <v>106</v>
      </c>
      <c r="B3" s="12" t="s">
        <v>107</v>
      </c>
      <c r="C3" s="12"/>
      <c r="D3" s="13" t="s">
        <v>105</v>
      </c>
    </row>
    <row r="4" customFormat="false" ht="15" hidden="false" customHeight="false" outlineLevel="0" collapsed="false">
      <c r="A4" s="12" t="s">
        <v>108</v>
      </c>
      <c r="B4" s="12" t="s">
        <v>109</v>
      </c>
      <c r="C4" s="12"/>
      <c r="D4" s="13" t="s">
        <v>105</v>
      </c>
    </row>
    <row r="5" customFormat="false" ht="15" hidden="false" customHeight="false" outlineLevel="0" collapsed="false">
      <c r="A5" s="12" t="s">
        <v>110</v>
      </c>
      <c r="B5" s="12" t="s">
        <v>111</v>
      </c>
      <c r="C5" s="12"/>
      <c r="D5" s="13" t="s">
        <v>105</v>
      </c>
    </row>
    <row r="6" customFormat="false" ht="15" hidden="false" customHeight="false" outlineLevel="0" collapsed="false">
      <c r="A6" s="12" t="s">
        <v>112</v>
      </c>
      <c r="B6" s="12" t="s">
        <v>113</v>
      </c>
      <c r="C6" s="12"/>
      <c r="D6" s="13" t="s">
        <v>105</v>
      </c>
    </row>
  </sheetData>
  <dataValidations count="1">
    <dataValidation allowBlank="false" errorStyle="stop" operator="between" showDropDown="false" showErrorMessage="false" showInputMessage="false" sqref="D2:D6" type="list">
      <formula1>"Open,Mitigated,Accepted"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2026-10-01T04:41:13Z</dcterms:created>
  <dc:creator>openpyxl</dc:creator>
  <dc:description/>
  <dc:language>en-US</dc:language>
  <cp:lastModifiedBy/>
  <dcterms:modified xsi:type="dcterms:W3CDTF">2026-10-01T04:41:13Z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